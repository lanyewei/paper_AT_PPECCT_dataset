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25526\Desktop\"/>
    </mc:Choice>
  </mc:AlternateContent>
  <xr:revisionPtr revIDLastSave="0" documentId="13_ncr:1_{844627D6-1D7F-42D1-9C7D-EDE60283F411}" xr6:coauthVersionLast="47" xr6:coauthVersionMax="47" xr10:uidLastSave="{00000000-0000-0000-0000-000000000000}"/>
  <bookViews>
    <workbookView xWindow="2050" yWindow="4520" windowWidth="21600" windowHeight="1267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1" i="1" l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<sst xmlns="http://schemas.openxmlformats.org/spreadsheetml/2006/main" count="777" uniqueCount="538">
  <si>
    <t>组别
（1.灵敏训练 2.认知训练+古法健身操）</t>
    <phoneticPr fontId="3" type="noConversion"/>
  </si>
  <si>
    <t>性别（1.男；2.女）</t>
    <phoneticPr fontId="3" type="noConversion"/>
  </si>
  <si>
    <t>Age 
(years)</t>
  </si>
  <si>
    <t>Height 
(cm)</t>
    <phoneticPr fontId="3" type="noConversion"/>
  </si>
  <si>
    <t>Weight
 (kg)pre</t>
    <phoneticPr fontId="3" type="noConversion"/>
  </si>
  <si>
    <t>BMI</t>
    <phoneticPr fontId="3" type="noConversion"/>
  </si>
  <si>
    <t>Weight（kg）post</t>
    <phoneticPr fontId="3" type="noConversion"/>
  </si>
  <si>
    <t>体脂肪
pre</t>
  </si>
  <si>
    <t>肌肉量
pre</t>
  </si>
  <si>
    <t>内脏脂肪
pre</t>
  </si>
  <si>
    <t>体脂肪
post</t>
  </si>
  <si>
    <t>肌肉量
post</t>
  </si>
  <si>
    <t>内脏脂肪
post</t>
  </si>
  <si>
    <t>N-BACK 1
正确率 pre</t>
    <phoneticPr fontId="3" type="noConversion"/>
  </si>
  <si>
    <t>N-BACK 1
RT pre(ms)</t>
  </si>
  <si>
    <t>N-BACK 2
正确率 pre</t>
  </si>
  <si>
    <t>N-BACK 2
RT pre</t>
  </si>
  <si>
    <t>N-BACK 3
正确率 pre</t>
    <phoneticPr fontId="3" type="noConversion"/>
  </si>
  <si>
    <t>N-BACK 3
RT pre</t>
    <phoneticPr fontId="3" type="noConversion"/>
  </si>
  <si>
    <t>N-BACK 1
正确率 post</t>
    <phoneticPr fontId="3" type="noConversion"/>
  </si>
  <si>
    <t>N-BACK 1
RT post(ms)</t>
    <phoneticPr fontId="3" type="noConversion"/>
  </si>
  <si>
    <t>N-BACK 2
正确率 post</t>
    <phoneticPr fontId="3" type="noConversion"/>
  </si>
  <si>
    <t>N-BACK 2
RT post</t>
    <phoneticPr fontId="3" type="noConversion"/>
  </si>
  <si>
    <t>N-BACK 3
正确率 post</t>
    <phoneticPr fontId="3" type="noConversion"/>
  </si>
  <si>
    <t>N-BACK 3
RT post</t>
    <phoneticPr fontId="3" type="noConversion"/>
  </si>
  <si>
    <t>Stroop A 
正确数 pre</t>
    <phoneticPr fontId="3" type="noConversion"/>
  </si>
  <si>
    <t>Stroop A 
RT pre</t>
    <phoneticPr fontId="3" type="noConversion"/>
  </si>
  <si>
    <t>Stroop B 
正确数 pre</t>
    <phoneticPr fontId="3" type="noConversion"/>
  </si>
  <si>
    <t>Stroop B 
RT pre</t>
    <phoneticPr fontId="3" type="noConversion"/>
  </si>
  <si>
    <t>Stroop 组合    正确数   pre</t>
    <phoneticPr fontId="3" type="noConversion"/>
  </si>
  <si>
    <t>Stroop 组合     RT   pre</t>
    <phoneticPr fontId="3" type="noConversion"/>
  </si>
  <si>
    <t>Stroop A 
正确数 post</t>
    <phoneticPr fontId="3" type="noConversion"/>
  </si>
  <si>
    <t>Stroop A 
RT post</t>
    <phoneticPr fontId="3" type="noConversion"/>
  </si>
  <si>
    <t>Stroop B 
正确数 post</t>
    <phoneticPr fontId="3" type="noConversion"/>
  </si>
  <si>
    <t>Stroop B 
RT post</t>
    <phoneticPr fontId="3" type="noConversion"/>
  </si>
  <si>
    <t>Stroop 组合    正确数   post</t>
    <phoneticPr fontId="3" type="noConversion"/>
  </si>
  <si>
    <t>Stroop 组合     RT   post</t>
    <phoneticPr fontId="3" type="noConversion"/>
  </si>
  <si>
    <t>Illinois Agility Test pre（s）</t>
    <phoneticPr fontId="3" type="noConversion"/>
  </si>
  <si>
    <t>Illinois Agility Test post</t>
    <phoneticPr fontId="3" type="noConversion"/>
  </si>
  <si>
    <t>RT（ms）pre</t>
    <phoneticPr fontId="3" type="noConversion"/>
  </si>
  <si>
    <t>RT（ms）post</t>
    <phoneticPr fontId="3" type="noConversion"/>
  </si>
  <si>
    <t>埃里克森侧卫测试（EFT）正确率pre</t>
    <phoneticPr fontId="3" type="noConversion"/>
  </si>
  <si>
    <t>EFT时间（s）pre</t>
    <phoneticPr fontId="3" type="noConversion"/>
  </si>
  <si>
    <t>选择注意性测试（d2-TA）正确率pre</t>
    <phoneticPr fontId="3" type="noConversion"/>
  </si>
  <si>
    <t>d2-TA时间（s）pre</t>
    <phoneticPr fontId="3" type="noConversion"/>
  </si>
  <si>
    <t>持续关注正确率pre</t>
    <phoneticPr fontId="3" type="noConversion"/>
  </si>
  <si>
    <t>持续关注时间（s）pre</t>
    <phoneticPr fontId="3" type="noConversion"/>
  </si>
  <si>
    <t>视觉搜索（VST）正确率pre</t>
    <phoneticPr fontId="3" type="noConversion"/>
  </si>
  <si>
    <t>VST时间（s）pre</t>
    <phoneticPr fontId="3" type="noConversion"/>
  </si>
  <si>
    <t>埃里克森侧卫测试（EFT）正确率post</t>
    <phoneticPr fontId="3" type="noConversion"/>
  </si>
  <si>
    <t>EFT时间（s）post</t>
    <phoneticPr fontId="3" type="noConversion"/>
  </si>
  <si>
    <t>选择注意性测试（d2-TA）正确率post</t>
    <phoneticPr fontId="3" type="noConversion"/>
  </si>
  <si>
    <t>d2-TA时间（s）post</t>
    <phoneticPr fontId="3" type="noConversion"/>
  </si>
  <si>
    <t>持续关注正确率post</t>
    <phoneticPr fontId="3" type="noConversion"/>
  </si>
  <si>
    <t>持续关注时间（s）post</t>
    <phoneticPr fontId="3" type="noConversion"/>
  </si>
  <si>
    <t>视觉搜索（VST）正确率post</t>
    <phoneticPr fontId="3" type="noConversion"/>
  </si>
  <si>
    <t>VST时间（s）post</t>
    <phoneticPr fontId="3" type="noConversion"/>
  </si>
  <si>
    <t>29958</t>
  </si>
  <si>
    <t>29717</t>
  </si>
  <si>
    <t>27499</t>
  </si>
  <si>
    <t>24556</t>
  </si>
  <si>
    <t>28814</t>
  </si>
  <si>
    <t>27829</t>
  </si>
  <si>
    <t>19</t>
  </si>
  <si>
    <t>15565</t>
  </si>
  <si>
    <t>13667</t>
  </si>
  <si>
    <t>118</t>
  </si>
  <si>
    <t>104961</t>
  </si>
  <si>
    <t>119</t>
  </si>
  <si>
    <t>85602</t>
  </si>
  <si>
    <t>25416</t>
  </si>
  <si>
    <t>31409</t>
  </si>
  <si>
    <t>32597</t>
  </si>
  <si>
    <t>24102</t>
  </si>
  <si>
    <t>25243</t>
  </si>
  <si>
    <t>27782</t>
  </si>
  <si>
    <t>20</t>
  </si>
  <si>
    <t>17827</t>
  </si>
  <si>
    <t>10731</t>
  </si>
  <si>
    <t>120</t>
  </si>
  <si>
    <t>88858</t>
  </si>
  <si>
    <t>15487</t>
  </si>
  <si>
    <t>18</t>
  </si>
  <si>
    <t>8945</t>
  </si>
  <si>
    <t>116</t>
  </si>
  <si>
    <t>68202</t>
  </si>
  <si>
    <t>29963</t>
  </si>
  <si>
    <t>31057</t>
  </si>
  <si>
    <t>31516</t>
  </si>
  <si>
    <t>27747</t>
  </si>
  <si>
    <t>29669</t>
  </si>
  <si>
    <t>30178</t>
  </si>
  <si>
    <t>13056</t>
  </si>
  <si>
    <t>16</t>
  </si>
  <si>
    <t>14205</t>
  </si>
  <si>
    <t>113</t>
  </si>
  <si>
    <t>117151</t>
  </si>
  <si>
    <t>13964</t>
  </si>
  <si>
    <t>14857</t>
  </si>
  <si>
    <t>111</t>
  </si>
  <si>
    <t>93640</t>
  </si>
  <si>
    <t>29723</t>
  </si>
  <si>
    <t>27718</t>
  </si>
  <si>
    <t>31076</t>
  </si>
  <si>
    <t>30275</t>
  </si>
  <si>
    <t>26570</t>
  </si>
  <si>
    <t>30209</t>
  </si>
  <si>
    <t>15432</t>
  </si>
  <si>
    <t>11048</t>
  </si>
  <si>
    <t>115</t>
  </si>
  <si>
    <t>99470</t>
  </si>
  <si>
    <t>12077</t>
  </si>
  <si>
    <t>11681</t>
  </si>
  <si>
    <t>93250</t>
  </si>
  <si>
    <t>26328</t>
  </si>
  <si>
    <t>29543</t>
  </si>
  <si>
    <t>28306</t>
  </si>
  <si>
    <t>30037</t>
  </si>
  <si>
    <t>26208</t>
  </si>
  <si>
    <t>27445</t>
  </si>
  <si>
    <t>15592</t>
  </si>
  <si>
    <t>10302</t>
  </si>
  <si>
    <t>117</t>
  </si>
  <si>
    <t>81150</t>
  </si>
  <si>
    <t>13142</t>
  </si>
  <si>
    <t>12221</t>
  </si>
  <si>
    <t>86051</t>
  </si>
  <si>
    <t>28636</t>
  </si>
  <si>
    <t>31151</t>
  </si>
  <si>
    <t>29637</t>
  </si>
  <si>
    <t>26054</t>
  </si>
  <si>
    <t>27192</t>
  </si>
  <si>
    <t>26976</t>
  </si>
  <si>
    <t>17</t>
  </si>
  <si>
    <t>18999</t>
  </si>
  <si>
    <t>13428</t>
  </si>
  <si>
    <t>104</t>
  </si>
  <si>
    <t>106518</t>
  </si>
  <si>
    <t>16525</t>
  </si>
  <si>
    <t>17894</t>
  </si>
  <si>
    <t>98</t>
  </si>
  <si>
    <t>98557</t>
  </si>
  <si>
    <t>25643</t>
  </si>
  <si>
    <t>32344</t>
  </si>
  <si>
    <t>33588</t>
  </si>
  <si>
    <t>24144</t>
  </si>
  <si>
    <t>30142</t>
  </si>
  <si>
    <t>27899</t>
  </si>
  <si>
    <t>11899</t>
  </si>
  <si>
    <t>10439</t>
  </si>
  <si>
    <t>54160</t>
  </si>
  <si>
    <t>10610</t>
  </si>
  <si>
    <t>10929</t>
  </si>
  <si>
    <t>66147</t>
  </si>
  <si>
    <t>27014</t>
  </si>
  <si>
    <t>30161</t>
  </si>
  <si>
    <t>31058</t>
  </si>
  <si>
    <t>13711</t>
  </si>
  <si>
    <t>12199</t>
  </si>
  <si>
    <t>93102</t>
  </si>
  <si>
    <t>25440</t>
  </si>
  <si>
    <t>29848</t>
  </si>
  <si>
    <t>29538</t>
  </si>
  <si>
    <t>26518</t>
  </si>
  <si>
    <t>32571</t>
  </si>
  <si>
    <t>23924</t>
  </si>
  <si>
    <t>13787</t>
  </si>
  <si>
    <t>10636</t>
  </si>
  <si>
    <t>83594</t>
  </si>
  <si>
    <t>14573</t>
  </si>
  <si>
    <t>11393</t>
  </si>
  <si>
    <t>70850</t>
  </si>
  <si>
    <t>24130</t>
  </si>
  <si>
    <t>32895</t>
  </si>
  <si>
    <t>26787</t>
  </si>
  <si>
    <t>26746</t>
  </si>
  <si>
    <t>26267</t>
  </si>
  <si>
    <t>13465</t>
  </si>
  <si>
    <t>11978</t>
  </si>
  <si>
    <t>89433</t>
  </si>
  <si>
    <t>13691</t>
  </si>
  <si>
    <t>11568</t>
  </si>
  <si>
    <t>78973</t>
  </si>
  <si>
    <t>28674</t>
  </si>
  <si>
    <t>25837</t>
  </si>
  <si>
    <t>28562</t>
  </si>
  <si>
    <t>23991</t>
  </si>
  <si>
    <t>26012</t>
  </si>
  <si>
    <t>27334</t>
  </si>
  <si>
    <t>15412</t>
  </si>
  <si>
    <t>13924</t>
  </si>
  <si>
    <t>110257</t>
  </si>
  <si>
    <t>17115</t>
  </si>
  <si>
    <t>13225</t>
  </si>
  <si>
    <t>87976</t>
  </si>
  <si>
    <t>28457</t>
  </si>
  <si>
    <t>28720</t>
  </si>
  <si>
    <t>32766</t>
  </si>
  <si>
    <t>27916</t>
  </si>
  <si>
    <t>31815</t>
  </si>
  <si>
    <t>28022</t>
  </si>
  <si>
    <t>15530</t>
  </si>
  <si>
    <t>11557</t>
  </si>
  <si>
    <t>84637</t>
  </si>
  <si>
    <t>12792</t>
  </si>
  <si>
    <t>12110</t>
  </si>
  <si>
    <t>112</t>
  </si>
  <si>
    <t>71701</t>
  </si>
  <si>
    <t>28070</t>
  </si>
  <si>
    <t>32190</t>
  </si>
  <si>
    <t>34246</t>
  </si>
  <si>
    <t>25673</t>
  </si>
  <si>
    <t>31972</t>
  </si>
  <si>
    <t>33353</t>
  </si>
  <si>
    <t>16153</t>
  </si>
  <si>
    <t>14053</t>
  </si>
  <si>
    <t>79039</t>
  </si>
  <si>
    <t>12587</t>
  </si>
  <si>
    <t>12150</t>
  </si>
  <si>
    <t>80730</t>
  </si>
  <si>
    <t>27077</t>
  </si>
  <si>
    <t>27214</t>
  </si>
  <si>
    <t>27155</t>
  </si>
  <si>
    <t>28708</t>
  </si>
  <si>
    <t>25725</t>
  </si>
  <si>
    <t>22527</t>
  </si>
  <si>
    <t>13855</t>
  </si>
  <si>
    <t>12531</t>
  </si>
  <si>
    <t>79923</t>
  </si>
  <si>
    <t>13527</t>
  </si>
  <si>
    <t>12540</t>
  </si>
  <si>
    <t>75648</t>
  </si>
  <si>
    <t>24480</t>
  </si>
  <si>
    <t>26846</t>
  </si>
  <si>
    <t>27359</t>
  </si>
  <si>
    <t>24437</t>
  </si>
  <si>
    <t>27742</t>
  </si>
  <si>
    <t>26439</t>
  </si>
  <si>
    <t>13019</t>
  </si>
  <si>
    <t>10957</t>
  </si>
  <si>
    <t>79103</t>
  </si>
  <si>
    <t>12508</t>
  </si>
  <si>
    <t>9741</t>
  </si>
  <si>
    <t>72996</t>
  </si>
  <si>
    <t>28438</t>
  </si>
  <si>
    <t>30932</t>
  </si>
  <si>
    <t>32671</t>
  </si>
  <si>
    <t>25831</t>
  </si>
  <si>
    <t>31544</t>
  </si>
  <si>
    <t>28962</t>
  </si>
  <si>
    <t>10377</t>
  </si>
  <si>
    <t>9681</t>
  </si>
  <si>
    <t>62673</t>
  </si>
  <si>
    <t>10978</t>
  </si>
  <si>
    <t>8716</t>
  </si>
  <si>
    <t>62841</t>
  </si>
  <si>
    <t>28698</t>
  </si>
  <si>
    <t>30244</t>
  </si>
  <si>
    <t>32979</t>
  </si>
  <si>
    <t>28327</t>
  </si>
  <si>
    <t>31095</t>
  </si>
  <si>
    <t>30892</t>
  </si>
  <si>
    <t>12341</t>
  </si>
  <si>
    <t>10410</t>
  </si>
  <si>
    <t>80235</t>
  </si>
  <si>
    <t>13423</t>
  </si>
  <si>
    <t>10406</t>
  </si>
  <si>
    <t>76318</t>
  </si>
  <si>
    <t>27318</t>
  </si>
  <si>
    <t>26084</t>
  </si>
  <si>
    <t>29179</t>
  </si>
  <si>
    <t>27267</t>
  </si>
  <si>
    <t>25663</t>
  </si>
  <si>
    <t>27537</t>
  </si>
  <si>
    <t>12919</t>
  </si>
  <si>
    <t>10332</t>
  </si>
  <si>
    <t>114</t>
  </si>
  <si>
    <t>82906</t>
  </si>
  <si>
    <t>14530</t>
  </si>
  <si>
    <t>13219</t>
  </si>
  <si>
    <t>87453</t>
  </si>
  <si>
    <t>23311</t>
  </si>
  <si>
    <t>27674</t>
  </si>
  <si>
    <t>30241</t>
  </si>
  <si>
    <t>25846</t>
  </si>
  <si>
    <t>27510</t>
  </si>
  <si>
    <t>26435</t>
  </si>
  <si>
    <t>13741</t>
  </si>
  <si>
    <t>12926</t>
  </si>
  <si>
    <t>108</t>
  </si>
  <si>
    <t>92731</t>
  </si>
  <si>
    <t>12940</t>
  </si>
  <si>
    <t>10826</t>
  </si>
  <si>
    <t>66581</t>
  </si>
  <si>
    <t>28518</t>
  </si>
  <si>
    <t>32284</t>
  </si>
  <si>
    <t>30992</t>
  </si>
  <si>
    <t>28395</t>
  </si>
  <si>
    <t>32187</t>
  </si>
  <si>
    <t>31605</t>
  </si>
  <si>
    <t>14571</t>
  </si>
  <si>
    <t>12217</t>
  </si>
  <si>
    <t>83681</t>
  </si>
  <si>
    <t>13853</t>
  </si>
  <si>
    <t>9652</t>
  </si>
  <si>
    <t>75303</t>
  </si>
  <si>
    <t>28624</t>
  </si>
  <si>
    <t>25653</t>
  </si>
  <si>
    <t>26245</t>
  </si>
  <si>
    <t>25981</t>
  </si>
  <si>
    <t>25584</t>
  </si>
  <si>
    <t>10530</t>
  </si>
  <si>
    <t>9232</t>
  </si>
  <si>
    <t>110</t>
  </si>
  <si>
    <t>68779</t>
  </si>
  <si>
    <t>13331</t>
  </si>
  <si>
    <t>10625</t>
  </si>
  <si>
    <t>69310</t>
  </si>
  <si>
    <t>27009</t>
  </si>
  <si>
    <t>30034</t>
  </si>
  <si>
    <t>30777</t>
  </si>
  <si>
    <t>27729</t>
  </si>
  <si>
    <t>30793</t>
  </si>
  <si>
    <t>28627</t>
  </si>
  <si>
    <t>14898</t>
  </si>
  <si>
    <t>12432</t>
  </si>
  <si>
    <t>105147</t>
  </si>
  <si>
    <t>14804</t>
  </si>
  <si>
    <t>13136</t>
  </si>
  <si>
    <t>84868</t>
  </si>
  <si>
    <t>29206</t>
  </si>
  <si>
    <t>28654</t>
  </si>
  <si>
    <t>32294</t>
  </si>
  <si>
    <t>28030</t>
  </si>
  <si>
    <t>26150</t>
  </si>
  <si>
    <t>28200</t>
  </si>
  <si>
    <t>16887</t>
  </si>
  <si>
    <t>16707</t>
  </si>
  <si>
    <t>103811</t>
  </si>
  <si>
    <t>13909</t>
  </si>
  <si>
    <t>11509</t>
  </si>
  <si>
    <t>86311</t>
  </si>
  <si>
    <t>27218</t>
  </si>
  <si>
    <t>29739</t>
  </si>
  <si>
    <t>31161</t>
  </si>
  <si>
    <t>24961</t>
  </si>
  <si>
    <t>25301</t>
  </si>
  <si>
    <t>25291</t>
  </si>
  <si>
    <t>13979</t>
  </si>
  <si>
    <t>11036</t>
  </si>
  <si>
    <t>73943</t>
  </si>
  <si>
    <t>12534</t>
  </si>
  <si>
    <t>12984</t>
  </si>
  <si>
    <t>81684</t>
  </si>
  <si>
    <t>23812</t>
  </si>
  <si>
    <t>29287</t>
  </si>
  <si>
    <t>28549</t>
  </si>
  <si>
    <t>26658</t>
  </si>
  <si>
    <t>28168</t>
  </si>
  <si>
    <t>26924</t>
  </si>
  <si>
    <t>12369</t>
  </si>
  <si>
    <t>10062</t>
  </si>
  <si>
    <t>66723</t>
  </si>
  <si>
    <t>14023</t>
  </si>
  <si>
    <t>13900</t>
  </si>
  <si>
    <t>93006</t>
  </si>
  <si>
    <t>30068</t>
  </si>
  <si>
    <t>27339</t>
  </si>
  <si>
    <t>28477</t>
  </si>
  <si>
    <t>26932</t>
  </si>
  <si>
    <t>28721</t>
  </si>
  <si>
    <t>26610</t>
  </si>
  <si>
    <t>12564</t>
  </si>
  <si>
    <t>9668</t>
  </si>
  <si>
    <t>71014</t>
  </si>
  <si>
    <t>14317</t>
  </si>
  <si>
    <t>12990</t>
  </si>
  <si>
    <t>79423</t>
  </si>
  <si>
    <t>29157</t>
  </si>
  <si>
    <t>32079</t>
  </si>
  <si>
    <t>30699</t>
  </si>
  <si>
    <t>27836</t>
  </si>
  <si>
    <t>28522</t>
  </si>
  <si>
    <t>30212</t>
  </si>
  <si>
    <t>14733</t>
  </si>
  <si>
    <t>11064</t>
  </si>
  <si>
    <t>94723</t>
  </si>
  <si>
    <t>12444</t>
  </si>
  <si>
    <t>9580</t>
  </si>
  <si>
    <t>80917</t>
  </si>
  <si>
    <t>25500</t>
  </si>
  <si>
    <t>22720</t>
  </si>
  <si>
    <t>21493</t>
  </si>
  <si>
    <t>22674</t>
  </si>
  <si>
    <t>23627</t>
  </si>
  <si>
    <t>19911</t>
  </si>
  <si>
    <t>14211</t>
  </si>
  <si>
    <t>10722</t>
  </si>
  <si>
    <t>86275</t>
  </si>
  <si>
    <t>12421</t>
  </si>
  <si>
    <t>9079</t>
  </si>
  <si>
    <t>68739</t>
  </si>
  <si>
    <t>28656</t>
  </si>
  <si>
    <t>32382</t>
  </si>
  <si>
    <t>31863</t>
  </si>
  <si>
    <t>26987</t>
  </si>
  <si>
    <t>32955</t>
  </si>
  <si>
    <t>30770</t>
  </si>
  <si>
    <t>15254</t>
  </si>
  <si>
    <t>7979</t>
  </si>
  <si>
    <t>55883</t>
  </si>
  <si>
    <t>14002</t>
  </si>
  <si>
    <t>9960</t>
  </si>
  <si>
    <t>70020</t>
  </si>
  <si>
    <t>25289</t>
  </si>
  <si>
    <t>28475</t>
  </si>
  <si>
    <t>28621</t>
  </si>
  <si>
    <t>28580</t>
  </si>
  <si>
    <t>23540</t>
  </si>
  <si>
    <t>20914</t>
  </si>
  <si>
    <t>16588</t>
  </si>
  <si>
    <t>12303</t>
  </si>
  <si>
    <t>80530</t>
  </si>
  <si>
    <t>16001</t>
  </si>
  <si>
    <t>12108</t>
  </si>
  <si>
    <t>53923</t>
  </si>
  <si>
    <t>23636</t>
  </si>
  <si>
    <t>29553</t>
  </si>
  <si>
    <t>29753</t>
  </si>
  <si>
    <t>28088</t>
  </si>
  <si>
    <t>31349</t>
  </si>
  <si>
    <t>27259</t>
  </si>
  <si>
    <t>14434</t>
  </si>
  <si>
    <t>12579</t>
  </si>
  <si>
    <t>82695</t>
  </si>
  <si>
    <t>14533</t>
  </si>
  <si>
    <t>11596</t>
  </si>
  <si>
    <t>84314</t>
  </si>
  <si>
    <t>27620</t>
  </si>
  <si>
    <t>30380</t>
  </si>
  <si>
    <t>30507</t>
  </si>
  <si>
    <t>27965</t>
  </si>
  <si>
    <t>28874</t>
  </si>
  <si>
    <t>28100</t>
  </si>
  <si>
    <t>16501</t>
  </si>
  <si>
    <t>12208</t>
  </si>
  <si>
    <t>10025</t>
  </si>
  <si>
    <t>68246</t>
  </si>
  <si>
    <t>27857</t>
  </si>
  <si>
    <t>30236</t>
  </si>
  <si>
    <t>30248</t>
  </si>
  <si>
    <t>26259</t>
  </si>
  <si>
    <t>23915</t>
  </si>
  <si>
    <t>18688</t>
  </si>
  <si>
    <t>16289</t>
  </si>
  <si>
    <t>107493</t>
  </si>
  <si>
    <t>14513</t>
  </si>
  <si>
    <t>12899</t>
  </si>
  <si>
    <t>89780</t>
  </si>
  <si>
    <t>33146</t>
  </si>
  <si>
    <t>29789</t>
  </si>
  <si>
    <t>32625</t>
  </si>
  <si>
    <t>26541</t>
  </si>
  <si>
    <t>30452</t>
  </si>
  <si>
    <t>31485</t>
  </si>
  <si>
    <t>15447</t>
  </si>
  <si>
    <t>12656</t>
  </si>
  <si>
    <t>83081</t>
  </si>
  <si>
    <t>16069</t>
  </si>
  <si>
    <t>13449</t>
  </si>
  <si>
    <t>95510</t>
  </si>
  <si>
    <t>26190</t>
  </si>
  <si>
    <t>30899</t>
  </si>
  <si>
    <t>31820</t>
  </si>
  <si>
    <t>22749</t>
  </si>
  <si>
    <t>30177</t>
  </si>
  <si>
    <t>29565</t>
  </si>
  <si>
    <t>15161</t>
  </si>
  <si>
    <t>10805</t>
  </si>
  <si>
    <t>92449</t>
  </si>
  <si>
    <t>12260</t>
  </si>
  <si>
    <t>9428</t>
  </si>
  <si>
    <t>71860</t>
  </si>
  <si>
    <t>26741</t>
  </si>
  <si>
    <t>26183</t>
  </si>
  <si>
    <t>30710</t>
  </si>
  <si>
    <t>23231</t>
  </si>
  <si>
    <t>29070</t>
  </si>
  <si>
    <t>28603</t>
  </si>
  <si>
    <t>14175</t>
  </si>
  <si>
    <t>10435</t>
  </si>
  <si>
    <t>84493</t>
  </si>
  <si>
    <t>17029</t>
  </si>
  <si>
    <t>13633</t>
  </si>
  <si>
    <t>79252</t>
  </si>
  <si>
    <t>28285</t>
  </si>
  <si>
    <t>30446</t>
  </si>
  <si>
    <t>27924</t>
  </si>
  <si>
    <t>28419</t>
  </si>
  <si>
    <t>27501</t>
  </si>
  <si>
    <t>25690</t>
  </si>
  <si>
    <t>11467</t>
  </si>
  <si>
    <t>10642</t>
  </si>
  <si>
    <t>83506</t>
  </si>
  <si>
    <t>16221</t>
  </si>
  <si>
    <t>11783</t>
  </si>
  <si>
    <t>92913</t>
  </si>
  <si>
    <t>24694</t>
  </si>
  <si>
    <t>32008</t>
  </si>
  <si>
    <t>29621</t>
  </si>
  <si>
    <t>27930</t>
  </si>
  <si>
    <t>26027</t>
  </si>
  <si>
    <t>25617</t>
  </si>
  <si>
    <t>13907</t>
  </si>
  <si>
    <t>10989</t>
  </si>
  <si>
    <t>81174</t>
  </si>
  <si>
    <t>13283</t>
  </si>
  <si>
    <t>11290</t>
  </si>
  <si>
    <t>79721</t>
  </si>
  <si>
    <t>26703</t>
  </si>
  <si>
    <t>30485</t>
  </si>
  <si>
    <t>23687</t>
  </si>
  <si>
    <t>14190</t>
  </si>
  <si>
    <t>9995</t>
  </si>
  <si>
    <t>75243</t>
  </si>
  <si>
    <t>30595</t>
  </si>
  <si>
    <t>32202</t>
  </si>
  <si>
    <t>30105</t>
  </si>
  <si>
    <t>21361</t>
  </si>
  <si>
    <t>20245</t>
  </si>
  <si>
    <t>28454</t>
  </si>
  <si>
    <t>16088</t>
  </si>
  <si>
    <t>13744</t>
  </si>
  <si>
    <t>102174</t>
  </si>
  <si>
    <t>15376</t>
  </si>
  <si>
    <t>11384</t>
  </si>
  <si>
    <t>109</t>
  </si>
  <si>
    <t>89959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</si>
</sst>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5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</font>
    <font>
      <sz val="9"/>
      <name val="宋体"/>
      <scheme val="minor"/>
    </font>
    <font>
      <sz val="9"/>
      <name val="宋体"/>
      <family val="3"/>
      <charset val="134"/>
      <scheme val="minor"/>
    </font>
    <font>
      <b/>
      <sz val="11"/>
      <color rgb="FF6E6E6E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center"/>
    </xf>
    <xf numFmtId="0" fontId="4" fillId="0" borderId="0" xfId="0" applyFont="1" applyAlignment="1">
      <alignment vertical="center" wrapText="1"/>
    </xf>
    <xf numFmtId="0" fontId="0" fillId="0" borderId="0" xfId="0" applyAlignment="1"/>
    <xf numFmtId="2" fontId="0" fillId="0" borderId="0" xfId="0" applyNumberFormat="1" applyAlignment="1"/>
    <xf numFmtId="176" fontId="0" fillId="0" borderId="0" xfId="0" applyNumberFormat="1" applyAlignment="1"/>
    <xf numFmtId="0" fontId="0" fillId="2" borderId="0" xfId="0" applyFill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41"/>
  <sheetViews>
    <sheetView tabSelected="1" topLeftCell="A22" workbookViewId="0">
      <selection activeCell="F17" sqref="F17"/>
    </sheetView>
  </sheetViews>
  <sheetFormatPr defaultColWidth="9" defaultRowHeight="14"/>
  <sheetData>
    <row r="1" spans="1:57" ht="84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3" t="s">
        <v>37</v>
      </c>
      <c r="AM1" s="3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>
      <c r="A2" s="4">
        <v>1</v>
      </c>
      <c r="B2" s="4">
        <v>1</v>
      </c>
      <c r="C2" s="4"/>
      <c r="D2" s="4">
        <v>172</v>
      </c>
      <c r="E2" s="4">
        <v>63.3</v>
      </c>
      <c r="F2" s="4">
        <f>E2/((D2/100)^2)</f>
        <v>21.396700919415903</v>
      </c>
      <c r="G2" s="4">
        <v>62.2</v>
      </c>
      <c r="H2" s="4">
        <v>14.6</v>
      </c>
      <c r="I2" s="4">
        <v>30.4</v>
      </c>
      <c r="J2" s="4">
        <v>3</v>
      </c>
      <c r="K2" s="4">
        <v>10.4</v>
      </c>
      <c r="L2" s="4">
        <v>31.5</v>
      </c>
      <c r="M2" s="4">
        <v>2</v>
      </c>
      <c r="N2" s="5">
        <v>100</v>
      </c>
      <c r="O2" s="4" t="s">
        <v>57</v>
      </c>
      <c r="P2" s="5">
        <v>62.5</v>
      </c>
      <c r="Q2" s="4" t="s">
        <v>58</v>
      </c>
      <c r="R2" s="5">
        <v>77.78</v>
      </c>
      <c r="S2" s="4" t="s">
        <v>59</v>
      </c>
      <c r="T2" s="5">
        <v>100</v>
      </c>
      <c r="U2" s="4" t="s">
        <v>60</v>
      </c>
      <c r="V2" s="5">
        <v>77.78</v>
      </c>
      <c r="W2" s="4" t="s">
        <v>61</v>
      </c>
      <c r="X2" s="5">
        <v>60</v>
      </c>
      <c r="Y2" s="4" t="s">
        <v>62</v>
      </c>
      <c r="Z2" s="4" t="s">
        <v>63</v>
      </c>
      <c r="AA2" s="4" t="s">
        <v>64</v>
      </c>
      <c r="AB2" s="4" t="s">
        <v>63</v>
      </c>
      <c r="AC2" s="4" t="s">
        <v>65</v>
      </c>
      <c r="AD2" s="4" t="s">
        <v>66</v>
      </c>
      <c r="AE2" s="4" t="s">
        <v>67</v>
      </c>
      <c r="AF2" s="4" t="s">
        <v>63</v>
      </c>
      <c r="AG2" s="4" t="s">
        <v>64</v>
      </c>
      <c r="AH2" s="4" t="s">
        <v>63</v>
      </c>
      <c r="AI2" s="4" t="s">
        <v>65</v>
      </c>
      <c r="AJ2" s="4" t="s">
        <v>68</v>
      </c>
      <c r="AK2" s="4" t="s">
        <v>69</v>
      </c>
      <c r="AL2" s="4">
        <v>16.899999999999999</v>
      </c>
      <c r="AM2" s="4">
        <v>16.899999999999999</v>
      </c>
      <c r="AN2" s="4">
        <v>279</v>
      </c>
      <c r="AO2" s="4">
        <v>271</v>
      </c>
      <c r="AP2" s="4">
        <v>100</v>
      </c>
      <c r="AQ2" s="4">
        <v>0.42199999999999999</v>
      </c>
      <c r="AR2" s="4">
        <v>97</v>
      </c>
      <c r="AS2" s="4">
        <v>69</v>
      </c>
      <c r="AT2" s="4">
        <v>97</v>
      </c>
      <c r="AU2" s="4">
        <v>0.32</v>
      </c>
      <c r="AV2" s="4">
        <v>100</v>
      </c>
      <c r="AW2" s="4">
        <v>5.1550000000000002</v>
      </c>
      <c r="AX2" s="4">
        <v>100</v>
      </c>
      <c r="AY2" s="4">
        <v>0.41499999999999998</v>
      </c>
      <c r="AZ2" s="4">
        <v>100</v>
      </c>
      <c r="BA2" s="4">
        <v>99</v>
      </c>
      <c r="BB2" s="4">
        <v>100</v>
      </c>
      <c r="BC2" s="4">
        <v>0.35599999999999998</v>
      </c>
      <c r="BD2" s="4">
        <v>100</v>
      </c>
      <c r="BE2" s="4">
        <v>5.4180000000000001</v>
      </c>
    </row>
    <row r="3" spans="1:57">
      <c r="A3" s="4">
        <v>1</v>
      </c>
      <c r="B3" s="4">
        <v>2</v>
      </c>
      <c r="C3" s="4"/>
      <c r="D3" s="4">
        <v>172</v>
      </c>
      <c r="E3" s="4">
        <v>70.7</v>
      </c>
      <c r="F3" s="4">
        <f t="shared" ref="F3:F41" si="0">E3/((D3/100)^2)</f>
        <v>23.8980530016225</v>
      </c>
      <c r="G3" s="4">
        <v>72.3</v>
      </c>
      <c r="H3" s="4">
        <v>33.1</v>
      </c>
      <c r="I3" s="4">
        <v>26</v>
      </c>
      <c r="J3" s="4">
        <v>10</v>
      </c>
      <c r="K3" s="4">
        <v>28.8</v>
      </c>
      <c r="L3" s="4">
        <v>28.4</v>
      </c>
      <c r="M3" s="4">
        <v>8</v>
      </c>
      <c r="N3" s="5">
        <v>95</v>
      </c>
      <c r="O3" s="4" t="s">
        <v>70</v>
      </c>
      <c r="P3" s="5">
        <v>35.29</v>
      </c>
      <c r="Q3" s="4" t="s">
        <v>71</v>
      </c>
      <c r="R3" s="5">
        <v>25</v>
      </c>
      <c r="S3" s="4" t="s">
        <v>72</v>
      </c>
      <c r="T3" s="5">
        <v>100</v>
      </c>
      <c r="U3" s="4" t="s">
        <v>73</v>
      </c>
      <c r="V3" s="5">
        <v>84.62</v>
      </c>
      <c r="W3" s="4" t="s">
        <v>74</v>
      </c>
      <c r="X3" s="5">
        <v>41.18</v>
      </c>
      <c r="Y3" s="4" t="s">
        <v>75</v>
      </c>
      <c r="Z3" s="4" t="s">
        <v>76</v>
      </c>
      <c r="AA3" s="4" t="s">
        <v>77</v>
      </c>
      <c r="AB3" s="4" t="s">
        <v>76</v>
      </c>
      <c r="AC3" s="4" t="s">
        <v>78</v>
      </c>
      <c r="AD3" s="4" t="s">
        <v>79</v>
      </c>
      <c r="AE3" s="4" t="s">
        <v>80</v>
      </c>
      <c r="AF3" s="4" t="s">
        <v>63</v>
      </c>
      <c r="AG3" s="4" t="s">
        <v>81</v>
      </c>
      <c r="AH3" s="4" t="s">
        <v>82</v>
      </c>
      <c r="AI3" s="4" t="s">
        <v>83</v>
      </c>
      <c r="AJ3" s="4" t="s">
        <v>84</v>
      </c>
      <c r="AK3" s="4" t="s">
        <v>85</v>
      </c>
      <c r="AL3" s="4">
        <v>20.8</v>
      </c>
      <c r="AM3" s="4">
        <v>19.8</v>
      </c>
      <c r="AN3" s="4">
        <v>279</v>
      </c>
      <c r="AO3" s="4">
        <v>236</v>
      </c>
      <c r="AP3" s="4">
        <v>97</v>
      </c>
      <c r="AQ3" s="4">
        <v>0.38700000000000001</v>
      </c>
      <c r="AR3" s="4">
        <v>93</v>
      </c>
      <c r="AS3" s="4">
        <v>138</v>
      </c>
      <c r="AT3" s="4">
        <v>97</v>
      </c>
      <c r="AU3" s="4">
        <v>0.32200000000000001</v>
      </c>
      <c r="AV3" s="4">
        <v>97</v>
      </c>
      <c r="AW3" s="4">
        <v>6.5679999999999996</v>
      </c>
      <c r="AX3" s="4">
        <v>100</v>
      </c>
      <c r="AY3" s="4">
        <v>0.36299999999999999</v>
      </c>
      <c r="AZ3" s="4">
        <v>99</v>
      </c>
      <c r="BA3" s="4">
        <v>102</v>
      </c>
      <c r="BB3" s="4">
        <v>98</v>
      </c>
      <c r="BC3" s="4">
        <v>0.318</v>
      </c>
      <c r="BD3" s="4">
        <v>100</v>
      </c>
      <c r="BE3" s="4">
        <v>3.177</v>
      </c>
    </row>
    <row r="4" spans="1:57">
      <c r="A4" s="4">
        <v>1</v>
      </c>
      <c r="B4" s="4">
        <v>2</v>
      </c>
      <c r="C4" s="4"/>
      <c r="D4" s="4">
        <v>163</v>
      </c>
      <c r="E4" s="4">
        <v>61.9</v>
      </c>
      <c r="F4" s="4">
        <f t="shared" si="0"/>
        <v>23.297828296134593</v>
      </c>
      <c r="G4" s="4">
        <v>60.6</v>
      </c>
      <c r="H4" s="4">
        <v>34.700000000000003</v>
      </c>
      <c r="I4" s="4">
        <v>21.6</v>
      </c>
      <c r="J4" s="4">
        <v>10</v>
      </c>
      <c r="K4" s="4">
        <v>31.3</v>
      </c>
      <c r="L4" s="4">
        <v>21.6</v>
      </c>
      <c r="M4" s="4">
        <v>7</v>
      </c>
      <c r="N4" s="5">
        <v>59.09</v>
      </c>
      <c r="O4" s="4" t="s">
        <v>86</v>
      </c>
      <c r="P4" s="5">
        <v>53.33</v>
      </c>
      <c r="Q4" s="4" t="s">
        <v>87</v>
      </c>
      <c r="R4" s="5">
        <v>32</v>
      </c>
      <c r="S4" s="4" t="s">
        <v>88</v>
      </c>
      <c r="T4" s="5">
        <v>94.12</v>
      </c>
      <c r="U4" s="4" t="s">
        <v>89</v>
      </c>
      <c r="V4" s="5">
        <v>55.000000000000007</v>
      </c>
      <c r="W4" s="4" t="s">
        <v>90</v>
      </c>
      <c r="X4" s="5">
        <v>37.5</v>
      </c>
      <c r="Y4" s="4" t="s">
        <v>91</v>
      </c>
      <c r="Z4" s="4" t="s">
        <v>82</v>
      </c>
      <c r="AA4" s="4" t="s">
        <v>92</v>
      </c>
      <c r="AB4" s="4" t="s">
        <v>93</v>
      </c>
      <c r="AC4" s="4" t="s">
        <v>94</v>
      </c>
      <c r="AD4" s="4" t="s">
        <v>95</v>
      </c>
      <c r="AE4" s="4" t="s">
        <v>96</v>
      </c>
      <c r="AF4" s="4" t="s">
        <v>63</v>
      </c>
      <c r="AG4" s="4" t="s">
        <v>97</v>
      </c>
      <c r="AH4" s="4" t="s">
        <v>63</v>
      </c>
      <c r="AI4" s="4" t="s">
        <v>98</v>
      </c>
      <c r="AJ4" s="4" t="s">
        <v>99</v>
      </c>
      <c r="AK4" s="4" t="s">
        <v>100</v>
      </c>
      <c r="AL4" s="4">
        <v>23.2</v>
      </c>
      <c r="AM4" s="4">
        <v>21.2</v>
      </c>
      <c r="AN4" s="4">
        <v>271</v>
      </c>
      <c r="AO4" s="4">
        <v>266</v>
      </c>
      <c r="AP4" s="4">
        <v>100</v>
      </c>
      <c r="AQ4" s="4">
        <v>0.45200000000000001</v>
      </c>
      <c r="AR4" s="4">
        <v>100</v>
      </c>
      <c r="AS4" s="4">
        <v>86</v>
      </c>
      <c r="AT4" s="4">
        <v>100</v>
      </c>
      <c r="AU4" s="4">
        <v>0.44400000000000001</v>
      </c>
      <c r="AV4" s="4">
        <v>100</v>
      </c>
      <c r="AW4" s="4">
        <v>5.7539999999999996</v>
      </c>
      <c r="AX4" s="4">
        <v>100</v>
      </c>
      <c r="AY4" s="4">
        <v>0.47699999999999998</v>
      </c>
      <c r="AZ4" s="4">
        <v>99</v>
      </c>
      <c r="BA4" s="4">
        <v>66</v>
      </c>
      <c r="BB4" s="4">
        <v>95</v>
      </c>
      <c r="BC4" s="4">
        <v>0.42299999999999999</v>
      </c>
      <c r="BD4" s="4">
        <v>75</v>
      </c>
      <c r="BE4" s="4">
        <v>5.3140000000000001</v>
      </c>
    </row>
    <row r="5" spans="1:57">
      <c r="A5" s="4">
        <v>1</v>
      </c>
      <c r="B5" s="4">
        <v>1</v>
      </c>
      <c r="C5" s="4"/>
      <c r="D5" s="4">
        <v>178</v>
      </c>
      <c r="E5" s="4">
        <v>82.1</v>
      </c>
      <c r="F5" s="4">
        <f t="shared" si="0"/>
        <v>25.912132306526949</v>
      </c>
      <c r="G5" s="4">
        <v>81.7</v>
      </c>
      <c r="H5" s="4">
        <v>26.4</v>
      </c>
      <c r="I5" s="4">
        <v>33.9</v>
      </c>
      <c r="J5" s="4">
        <v>10</v>
      </c>
      <c r="K5" s="4">
        <v>24.4</v>
      </c>
      <c r="L5" s="4">
        <v>34</v>
      </c>
      <c r="M5" s="4">
        <v>7</v>
      </c>
      <c r="N5" s="5">
        <v>59.09</v>
      </c>
      <c r="O5" s="4" t="s">
        <v>101</v>
      </c>
      <c r="P5" s="5">
        <v>36.840000000000003</v>
      </c>
      <c r="Q5" s="4" t="s">
        <v>102</v>
      </c>
      <c r="R5" s="5">
        <v>47.37</v>
      </c>
      <c r="S5" s="4" t="s">
        <v>103</v>
      </c>
      <c r="T5" s="5">
        <v>94.44</v>
      </c>
      <c r="U5" s="4" t="s">
        <v>104</v>
      </c>
      <c r="V5" s="5">
        <v>68.75</v>
      </c>
      <c r="W5" s="4" t="s">
        <v>105</v>
      </c>
      <c r="X5" s="5">
        <v>37.5</v>
      </c>
      <c r="Y5" s="4" t="s">
        <v>106</v>
      </c>
      <c r="Z5" s="4" t="s">
        <v>76</v>
      </c>
      <c r="AA5" s="4" t="s">
        <v>107</v>
      </c>
      <c r="AB5" s="4" t="s">
        <v>63</v>
      </c>
      <c r="AC5" s="4" t="s">
        <v>108</v>
      </c>
      <c r="AD5" s="4" t="s">
        <v>109</v>
      </c>
      <c r="AE5" s="4" t="s">
        <v>110</v>
      </c>
      <c r="AF5" s="4" t="s">
        <v>63</v>
      </c>
      <c r="AG5" s="4" t="s">
        <v>111</v>
      </c>
      <c r="AH5" s="4" t="s">
        <v>82</v>
      </c>
      <c r="AI5" s="4" t="s">
        <v>112</v>
      </c>
      <c r="AJ5" s="4" t="s">
        <v>84</v>
      </c>
      <c r="AK5" s="4" t="s">
        <v>113</v>
      </c>
      <c r="AL5" s="4">
        <v>18.8</v>
      </c>
      <c r="AM5" s="4">
        <v>19.59</v>
      </c>
      <c r="AN5" s="4">
        <v>294</v>
      </c>
      <c r="AO5" s="4">
        <v>282</v>
      </c>
      <c r="AP5" s="4">
        <v>97</v>
      </c>
      <c r="AQ5" s="4">
        <v>0.42199999999999999</v>
      </c>
      <c r="AR5" s="4">
        <v>99</v>
      </c>
      <c r="AS5" s="4">
        <v>98</v>
      </c>
      <c r="AT5" s="4">
        <v>94</v>
      </c>
      <c r="AU5" s="4">
        <v>0.378</v>
      </c>
      <c r="AV5" s="4">
        <v>100</v>
      </c>
      <c r="AW5" s="4">
        <v>7.194</v>
      </c>
      <c r="AX5" s="4">
        <v>100</v>
      </c>
      <c r="AY5" s="4">
        <v>0.54800000000000004</v>
      </c>
      <c r="AZ5" s="4">
        <v>100</v>
      </c>
      <c r="BA5" s="4">
        <v>65</v>
      </c>
      <c r="BB5" s="4">
        <v>94</v>
      </c>
      <c r="BC5" s="4">
        <v>0.41499999999999998</v>
      </c>
      <c r="BD5" s="4">
        <v>100</v>
      </c>
      <c r="BE5" s="4">
        <v>2.9079999999999999</v>
      </c>
    </row>
    <row r="6" spans="1:57">
      <c r="A6" s="4">
        <v>1</v>
      </c>
      <c r="B6" s="4">
        <v>1</v>
      </c>
      <c r="C6" s="4"/>
      <c r="D6" s="4">
        <v>182</v>
      </c>
      <c r="E6" s="4">
        <v>78.099999999999994</v>
      </c>
      <c r="F6" s="4">
        <f t="shared" si="0"/>
        <v>23.57807028136698</v>
      </c>
      <c r="G6" s="4">
        <v>75.8</v>
      </c>
      <c r="H6" s="4">
        <v>21.4</v>
      </c>
      <c r="I6" s="4">
        <v>34.799999999999997</v>
      </c>
      <c r="J6" s="4">
        <v>6</v>
      </c>
      <c r="K6" s="4">
        <v>17.8</v>
      </c>
      <c r="L6" s="4">
        <v>35.299999999999997</v>
      </c>
      <c r="M6" s="4">
        <v>5</v>
      </c>
      <c r="N6" s="5">
        <v>100</v>
      </c>
      <c r="O6" s="4" t="s">
        <v>114</v>
      </c>
      <c r="P6" s="5">
        <v>42.11</v>
      </c>
      <c r="Q6" s="4" t="s">
        <v>115</v>
      </c>
      <c r="R6" s="5">
        <v>70.59</v>
      </c>
      <c r="S6" s="4" t="s">
        <v>116</v>
      </c>
      <c r="T6" s="5">
        <v>93.33</v>
      </c>
      <c r="U6" s="4" t="s">
        <v>117</v>
      </c>
      <c r="V6" s="5">
        <v>69.569999999999993</v>
      </c>
      <c r="W6" s="4" t="s">
        <v>118</v>
      </c>
      <c r="X6" s="5">
        <v>68.75</v>
      </c>
      <c r="Y6" s="4" t="s">
        <v>119</v>
      </c>
      <c r="Z6" s="4" t="s">
        <v>63</v>
      </c>
      <c r="AA6" s="4" t="s">
        <v>120</v>
      </c>
      <c r="AB6" s="4" t="s">
        <v>82</v>
      </c>
      <c r="AC6" s="4" t="s">
        <v>121</v>
      </c>
      <c r="AD6" s="4" t="s">
        <v>122</v>
      </c>
      <c r="AE6" s="4" t="s">
        <v>123</v>
      </c>
      <c r="AF6" s="4" t="s">
        <v>76</v>
      </c>
      <c r="AG6" s="4" t="s">
        <v>124</v>
      </c>
      <c r="AH6" s="4" t="s">
        <v>76</v>
      </c>
      <c r="AI6" s="4" t="s">
        <v>125</v>
      </c>
      <c r="AJ6" s="4" t="s">
        <v>84</v>
      </c>
      <c r="AK6" s="4" t="s">
        <v>126</v>
      </c>
      <c r="AL6" s="4">
        <v>18.100000000000001</v>
      </c>
      <c r="AM6" s="4">
        <v>17.87</v>
      </c>
      <c r="AN6" s="4">
        <v>308</v>
      </c>
      <c r="AO6" s="4">
        <v>261</v>
      </c>
      <c r="AP6" s="4">
        <v>97</v>
      </c>
      <c r="AQ6" s="4">
        <v>0.434</v>
      </c>
      <c r="AR6" s="4">
        <v>99</v>
      </c>
      <c r="AS6" s="4">
        <v>71</v>
      </c>
      <c r="AT6" s="4">
        <v>94</v>
      </c>
      <c r="AU6" s="4">
        <v>0.38500000000000001</v>
      </c>
      <c r="AV6" s="4">
        <v>100</v>
      </c>
      <c r="AW6" s="6">
        <v>4.0199999999999996</v>
      </c>
      <c r="AX6" s="4">
        <v>100</v>
      </c>
      <c r="AY6" s="4">
        <v>0.36699999999999999</v>
      </c>
      <c r="AZ6" s="4">
        <v>97</v>
      </c>
      <c r="BA6" s="4">
        <v>81</v>
      </c>
      <c r="BB6" s="4">
        <v>97</v>
      </c>
      <c r="BC6" s="6">
        <v>0.3</v>
      </c>
      <c r="BD6" s="4">
        <v>100</v>
      </c>
      <c r="BE6" s="4">
        <v>4.9660000000000002</v>
      </c>
    </row>
    <row r="7" spans="1:57">
      <c r="A7" s="4">
        <v>1</v>
      </c>
      <c r="B7" s="4">
        <v>2</v>
      </c>
      <c r="C7" s="4"/>
      <c r="D7" s="4">
        <v>155</v>
      </c>
      <c r="E7" s="4">
        <v>52.3</v>
      </c>
      <c r="F7" s="4">
        <f t="shared" si="0"/>
        <v>21.768990634755458</v>
      </c>
      <c r="G7" s="4">
        <v>53.6</v>
      </c>
      <c r="H7" s="4">
        <v>24.3</v>
      </c>
      <c r="I7" s="4">
        <v>21.6</v>
      </c>
      <c r="J7" s="4">
        <v>5</v>
      </c>
      <c r="K7" s="4">
        <v>32.700000000000003</v>
      </c>
      <c r="L7" s="4">
        <v>19.399999999999999</v>
      </c>
      <c r="M7" s="4">
        <v>7</v>
      </c>
      <c r="N7" s="5">
        <v>81.25</v>
      </c>
      <c r="O7" s="4" t="s">
        <v>127</v>
      </c>
      <c r="P7" s="5">
        <v>33.33</v>
      </c>
      <c r="Q7" s="4" t="s">
        <v>128</v>
      </c>
      <c r="R7" s="5">
        <v>23.53</v>
      </c>
      <c r="S7" s="4" t="s">
        <v>129</v>
      </c>
      <c r="T7" s="5">
        <v>100</v>
      </c>
      <c r="U7" s="4" t="s">
        <v>130</v>
      </c>
      <c r="V7" s="5">
        <v>47.62</v>
      </c>
      <c r="W7" s="4" t="s">
        <v>131</v>
      </c>
      <c r="X7" s="5">
        <v>50</v>
      </c>
      <c r="Y7" s="4" t="s">
        <v>132</v>
      </c>
      <c r="Z7" s="4" t="s">
        <v>133</v>
      </c>
      <c r="AA7" s="4" t="s">
        <v>134</v>
      </c>
      <c r="AB7" s="4" t="s">
        <v>63</v>
      </c>
      <c r="AC7" s="4" t="s">
        <v>135</v>
      </c>
      <c r="AD7" s="4" t="s">
        <v>136</v>
      </c>
      <c r="AE7" s="4" t="s">
        <v>137</v>
      </c>
      <c r="AF7" s="4" t="s">
        <v>82</v>
      </c>
      <c r="AG7" s="4" t="s">
        <v>138</v>
      </c>
      <c r="AH7" s="4" t="s">
        <v>76</v>
      </c>
      <c r="AI7" s="4" t="s">
        <v>139</v>
      </c>
      <c r="AJ7" s="4" t="s">
        <v>140</v>
      </c>
      <c r="AK7" s="4" t="s">
        <v>141</v>
      </c>
      <c r="AL7" s="4">
        <v>24.1</v>
      </c>
      <c r="AM7" s="4">
        <v>22.41</v>
      </c>
      <c r="AN7" s="4">
        <v>293</v>
      </c>
      <c r="AO7" s="4">
        <v>283</v>
      </c>
      <c r="AP7" s="4">
        <v>92</v>
      </c>
      <c r="AQ7" s="6">
        <v>0.44</v>
      </c>
      <c r="AR7" s="4">
        <v>95</v>
      </c>
      <c r="AS7" s="4">
        <v>68</v>
      </c>
      <c r="AT7" s="4">
        <v>94</v>
      </c>
      <c r="AU7" s="4">
        <v>0.42899999999999999</v>
      </c>
      <c r="AV7" s="4">
        <v>100</v>
      </c>
      <c r="AW7" s="4">
        <v>4.2160000000000002</v>
      </c>
      <c r="AX7" s="4">
        <v>100</v>
      </c>
      <c r="AY7" s="4">
        <v>0.432</v>
      </c>
      <c r="AZ7" s="4">
        <v>97</v>
      </c>
      <c r="BA7" s="4">
        <v>76</v>
      </c>
      <c r="BB7" s="4">
        <v>86</v>
      </c>
      <c r="BC7" s="4">
        <v>0.35199999999999998</v>
      </c>
      <c r="BD7" s="4">
        <v>100</v>
      </c>
      <c r="BE7" s="4">
        <v>2.0030000000000001</v>
      </c>
    </row>
    <row r="8" spans="1:57">
      <c r="A8" s="4">
        <v>1</v>
      </c>
      <c r="B8" s="4">
        <v>1</v>
      </c>
      <c r="C8" s="4"/>
      <c r="D8" s="4">
        <v>170</v>
      </c>
      <c r="E8" s="4">
        <v>46.2</v>
      </c>
      <c r="F8" s="4">
        <f t="shared" si="0"/>
        <v>15.986159169550175</v>
      </c>
      <c r="G8" s="4">
        <v>47.7</v>
      </c>
      <c r="H8" s="4">
        <v>8.1</v>
      </c>
      <c r="I8" s="4">
        <v>23.4</v>
      </c>
      <c r="J8" s="4">
        <v>1</v>
      </c>
      <c r="K8" s="4">
        <v>7.5</v>
      </c>
      <c r="L8" s="4">
        <v>24.3</v>
      </c>
      <c r="M8" s="4">
        <v>1</v>
      </c>
      <c r="N8" s="5">
        <v>100</v>
      </c>
      <c r="O8" s="4" t="s">
        <v>142</v>
      </c>
      <c r="P8" s="5">
        <v>20</v>
      </c>
      <c r="Q8" s="4" t="s">
        <v>143</v>
      </c>
      <c r="R8" s="5">
        <v>20</v>
      </c>
      <c r="S8" s="4" t="s">
        <v>144</v>
      </c>
      <c r="T8" s="5">
        <v>95.45</v>
      </c>
      <c r="U8" s="4" t="s">
        <v>145</v>
      </c>
      <c r="V8" s="5">
        <v>76.47</v>
      </c>
      <c r="W8" s="4" t="s">
        <v>146</v>
      </c>
      <c r="X8" s="5">
        <v>73.08</v>
      </c>
      <c r="Y8" s="4" t="s">
        <v>147</v>
      </c>
      <c r="Z8" s="4" t="s">
        <v>82</v>
      </c>
      <c r="AA8" s="4" t="s">
        <v>148</v>
      </c>
      <c r="AB8" s="4" t="s">
        <v>63</v>
      </c>
      <c r="AC8" s="4" t="s">
        <v>149</v>
      </c>
      <c r="AD8" s="4" t="s">
        <v>109</v>
      </c>
      <c r="AE8" s="4" t="s">
        <v>150</v>
      </c>
      <c r="AF8" s="4" t="s">
        <v>82</v>
      </c>
      <c r="AG8" s="4" t="s">
        <v>151</v>
      </c>
      <c r="AH8" s="4" t="s">
        <v>76</v>
      </c>
      <c r="AI8" s="4" t="s">
        <v>152</v>
      </c>
      <c r="AJ8" s="4" t="s">
        <v>109</v>
      </c>
      <c r="AK8" s="4" t="s">
        <v>153</v>
      </c>
      <c r="AL8" s="4">
        <v>21.6</v>
      </c>
      <c r="AM8" s="4">
        <v>18.54</v>
      </c>
      <c r="AN8" s="4">
        <v>270</v>
      </c>
      <c r="AO8" s="4">
        <v>251</v>
      </c>
      <c r="AP8" s="4">
        <v>94</v>
      </c>
      <c r="AQ8" s="4">
        <v>0.35099999999999998</v>
      </c>
      <c r="AR8" s="4">
        <v>89</v>
      </c>
      <c r="AS8" s="4">
        <v>37</v>
      </c>
      <c r="AT8" s="4">
        <v>97</v>
      </c>
      <c r="AU8" s="4">
        <v>0.313</v>
      </c>
      <c r="AV8" s="4">
        <v>100</v>
      </c>
      <c r="AW8" s="4">
        <v>5.9909999999999997</v>
      </c>
      <c r="AX8" s="4">
        <v>100</v>
      </c>
      <c r="AY8" s="4">
        <v>0.374</v>
      </c>
      <c r="AZ8" s="4">
        <v>96</v>
      </c>
      <c r="BA8" s="4">
        <v>46</v>
      </c>
      <c r="BB8" s="4">
        <v>97</v>
      </c>
      <c r="BC8" s="4">
        <v>0.33600000000000002</v>
      </c>
      <c r="BD8" s="4">
        <v>100</v>
      </c>
      <c r="BE8" s="4">
        <v>3.492</v>
      </c>
    </row>
    <row r="9" spans="1:57">
      <c r="A9" s="4">
        <v>1</v>
      </c>
      <c r="B9" s="4">
        <v>1</v>
      </c>
      <c r="C9" s="4"/>
      <c r="D9" s="4">
        <v>173</v>
      </c>
      <c r="E9" s="4">
        <v>68.3</v>
      </c>
      <c r="F9" s="4">
        <f t="shared" si="0"/>
        <v>22.820675598917436</v>
      </c>
      <c r="G9" s="4">
        <v>68</v>
      </c>
      <c r="H9" s="4">
        <v>23.8</v>
      </c>
      <c r="I9" s="4">
        <v>29.2</v>
      </c>
      <c r="J9" s="4">
        <v>6</v>
      </c>
      <c r="K9" s="4">
        <v>24.8</v>
      </c>
      <c r="L9" s="4">
        <v>28.6</v>
      </c>
      <c r="M9" s="4">
        <v>6</v>
      </c>
      <c r="N9" s="5">
        <v>73.680000000000007</v>
      </c>
      <c r="O9" s="4" t="s">
        <v>154</v>
      </c>
      <c r="P9" s="5">
        <v>61.11</v>
      </c>
      <c r="Q9" s="4" t="s">
        <v>155</v>
      </c>
      <c r="R9" s="5">
        <v>47.62</v>
      </c>
      <c r="S9" s="4" t="s">
        <v>156</v>
      </c>
      <c r="T9" s="5">
        <v>73.680000000000007</v>
      </c>
      <c r="U9" s="4" t="s">
        <v>154</v>
      </c>
      <c r="V9" s="5">
        <v>61.11</v>
      </c>
      <c r="W9" s="4" t="s">
        <v>155</v>
      </c>
      <c r="X9" s="5">
        <v>47.62</v>
      </c>
      <c r="Y9" s="4" t="s">
        <v>156</v>
      </c>
      <c r="Z9" s="4" t="s">
        <v>63</v>
      </c>
      <c r="AA9" s="4" t="s">
        <v>157</v>
      </c>
      <c r="AB9" s="4" t="s">
        <v>63</v>
      </c>
      <c r="AC9" s="4" t="s">
        <v>158</v>
      </c>
      <c r="AD9" s="4" t="s">
        <v>84</v>
      </c>
      <c r="AE9" s="4" t="s">
        <v>159</v>
      </c>
      <c r="AF9" s="4" t="s">
        <v>63</v>
      </c>
      <c r="AG9" s="4" t="s">
        <v>157</v>
      </c>
      <c r="AH9" s="4" t="s">
        <v>63</v>
      </c>
      <c r="AI9" s="4" t="s">
        <v>158</v>
      </c>
      <c r="AJ9" s="4" t="s">
        <v>84</v>
      </c>
      <c r="AK9" s="4" t="s">
        <v>159</v>
      </c>
      <c r="AL9" s="4">
        <v>21.9</v>
      </c>
      <c r="AM9" s="4">
        <v>20.329999999999998</v>
      </c>
      <c r="AN9" s="4">
        <v>302</v>
      </c>
      <c r="AO9" s="4">
        <v>252</v>
      </c>
      <c r="AP9" s="4">
        <v>100</v>
      </c>
      <c r="AQ9" s="4">
        <v>0.41799999999999998</v>
      </c>
      <c r="AR9" s="4">
        <v>90</v>
      </c>
      <c r="AS9" s="4">
        <v>124</v>
      </c>
      <c r="AT9" s="4">
        <v>94</v>
      </c>
      <c r="AU9" s="4">
        <v>0.40699999999999997</v>
      </c>
      <c r="AV9" s="4">
        <v>100</v>
      </c>
      <c r="AW9" s="4">
        <v>6.0519999999999996</v>
      </c>
      <c r="AX9" s="4">
        <v>97</v>
      </c>
      <c r="AY9" s="4">
        <v>0.443</v>
      </c>
      <c r="AZ9" s="4">
        <v>98</v>
      </c>
      <c r="BA9" s="4">
        <v>73</v>
      </c>
      <c r="BB9" s="4">
        <v>98</v>
      </c>
      <c r="BC9" s="4">
        <v>0.45100000000000001</v>
      </c>
      <c r="BD9" s="4">
        <v>100</v>
      </c>
      <c r="BE9" s="4">
        <v>4.9480000000000004</v>
      </c>
    </row>
    <row r="10" spans="1:57">
      <c r="A10" s="4">
        <v>1</v>
      </c>
      <c r="B10" s="4">
        <v>2</v>
      </c>
      <c r="C10" s="4"/>
      <c r="D10" s="4">
        <v>170</v>
      </c>
      <c r="E10" s="4">
        <v>64</v>
      </c>
      <c r="F10" s="4">
        <f t="shared" si="0"/>
        <v>22.145328719723185</v>
      </c>
      <c r="G10" s="4">
        <v>62.3</v>
      </c>
      <c r="H10" s="4">
        <v>31.1</v>
      </c>
      <c r="I10" s="4">
        <v>23.8</v>
      </c>
      <c r="J10" s="4">
        <v>8</v>
      </c>
      <c r="K10" s="4">
        <v>27.5</v>
      </c>
      <c r="L10" s="4">
        <v>24.2</v>
      </c>
      <c r="M10" s="4">
        <v>6</v>
      </c>
      <c r="N10" s="5">
        <v>89.47</v>
      </c>
      <c r="O10" s="4" t="s">
        <v>160</v>
      </c>
      <c r="P10" s="5">
        <v>47.62</v>
      </c>
      <c r="Q10" s="4" t="s">
        <v>161</v>
      </c>
      <c r="R10" s="5">
        <v>34.619999999999997</v>
      </c>
      <c r="S10" s="4" t="s">
        <v>162</v>
      </c>
      <c r="T10" s="5">
        <v>100</v>
      </c>
      <c r="U10" s="4" t="s">
        <v>163</v>
      </c>
      <c r="V10" s="5">
        <v>46.15</v>
      </c>
      <c r="W10" s="4" t="s">
        <v>164</v>
      </c>
      <c r="X10" s="5">
        <v>73.680000000000007</v>
      </c>
      <c r="Y10" s="4" t="s">
        <v>165</v>
      </c>
      <c r="Z10" s="4" t="s">
        <v>76</v>
      </c>
      <c r="AA10" s="4" t="s">
        <v>166</v>
      </c>
      <c r="AB10" s="4" t="s">
        <v>63</v>
      </c>
      <c r="AC10" s="4" t="s">
        <v>167</v>
      </c>
      <c r="AD10" s="4" t="s">
        <v>66</v>
      </c>
      <c r="AE10" s="4" t="s">
        <v>168</v>
      </c>
      <c r="AF10" s="4" t="s">
        <v>63</v>
      </c>
      <c r="AG10" s="4" t="s">
        <v>169</v>
      </c>
      <c r="AH10" s="4" t="s">
        <v>63</v>
      </c>
      <c r="AI10" s="4" t="s">
        <v>170</v>
      </c>
      <c r="AJ10" s="4" t="s">
        <v>95</v>
      </c>
      <c r="AK10" s="4" t="s">
        <v>171</v>
      </c>
      <c r="AL10" s="4">
        <v>22.8</v>
      </c>
      <c r="AM10" s="4">
        <v>22</v>
      </c>
      <c r="AN10" s="4">
        <v>282</v>
      </c>
      <c r="AO10" s="4">
        <v>282</v>
      </c>
      <c r="AP10" s="4">
        <v>100</v>
      </c>
      <c r="AQ10" s="4">
        <v>0.38100000000000001</v>
      </c>
      <c r="AR10" s="4">
        <v>97</v>
      </c>
      <c r="AS10" s="4">
        <v>53</v>
      </c>
      <c r="AT10" s="4">
        <v>95</v>
      </c>
      <c r="AU10" s="4">
        <v>0.35799999999999998</v>
      </c>
      <c r="AV10" s="4">
        <v>100</v>
      </c>
      <c r="AW10" s="4">
        <v>8.0380000000000003</v>
      </c>
      <c r="AX10" s="4">
        <v>100</v>
      </c>
      <c r="AY10" s="6">
        <v>0.37</v>
      </c>
      <c r="AZ10" s="4">
        <v>100</v>
      </c>
      <c r="BA10" s="4">
        <v>84</v>
      </c>
      <c r="BB10" s="4">
        <v>98</v>
      </c>
      <c r="BC10" s="6">
        <v>0.3</v>
      </c>
      <c r="BD10" s="4">
        <v>100</v>
      </c>
      <c r="BE10" s="4">
        <v>5.3230000000000004</v>
      </c>
    </row>
    <row r="11" spans="1:57">
      <c r="A11" s="4">
        <v>1</v>
      </c>
      <c r="B11" s="4">
        <v>2</v>
      </c>
      <c r="C11" s="4"/>
      <c r="D11" s="4">
        <v>168</v>
      </c>
      <c r="E11" s="4">
        <v>73.7</v>
      </c>
      <c r="F11" s="4">
        <f t="shared" si="0"/>
        <v>26.112528344671208</v>
      </c>
      <c r="G11" s="4">
        <v>72.599999999999994</v>
      </c>
      <c r="H11" s="4">
        <v>34.200000000000003</v>
      </c>
      <c r="I11" s="4">
        <v>26.9</v>
      </c>
      <c r="J11" s="4">
        <v>10</v>
      </c>
      <c r="K11" s="4">
        <v>38</v>
      </c>
      <c r="L11" s="4">
        <v>24.9</v>
      </c>
      <c r="M11" s="4">
        <v>11</v>
      </c>
      <c r="N11" s="5">
        <v>52.63</v>
      </c>
      <c r="O11" s="4" t="s">
        <v>172</v>
      </c>
      <c r="P11" s="5">
        <v>46.67</v>
      </c>
      <c r="Q11" s="4" t="s">
        <v>119</v>
      </c>
      <c r="R11" s="5">
        <v>35.29</v>
      </c>
      <c r="S11" s="4" t="s">
        <v>173</v>
      </c>
      <c r="T11" s="5">
        <v>93.33</v>
      </c>
      <c r="U11" s="4" t="s">
        <v>174</v>
      </c>
      <c r="V11" s="5">
        <v>60</v>
      </c>
      <c r="W11" s="4" t="s">
        <v>175</v>
      </c>
      <c r="X11" s="5">
        <v>57.14</v>
      </c>
      <c r="Y11" s="4" t="s">
        <v>176</v>
      </c>
      <c r="Z11" s="4" t="s">
        <v>63</v>
      </c>
      <c r="AA11" s="4" t="s">
        <v>177</v>
      </c>
      <c r="AB11" s="4" t="s">
        <v>63</v>
      </c>
      <c r="AC11" s="4" t="s">
        <v>178</v>
      </c>
      <c r="AD11" s="4" t="s">
        <v>68</v>
      </c>
      <c r="AE11" s="4" t="s">
        <v>179</v>
      </c>
      <c r="AF11" s="4" t="s">
        <v>63</v>
      </c>
      <c r="AG11" s="4" t="s">
        <v>180</v>
      </c>
      <c r="AH11" s="4" t="s">
        <v>63</v>
      </c>
      <c r="AI11" s="4" t="s">
        <v>181</v>
      </c>
      <c r="AJ11" s="4" t="s">
        <v>66</v>
      </c>
      <c r="AK11" s="4" t="s">
        <v>182</v>
      </c>
      <c r="AL11" s="4">
        <v>23.3</v>
      </c>
      <c r="AM11" s="4">
        <v>21.03</v>
      </c>
      <c r="AN11" s="4">
        <v>304</v>
      </c>
      <c r="AO11" s="4">
        <v>312</v>
      </c>
      <c r="AP11" s="4">
        <v>100</v>
      </c>
      <c r="AQ11" s="4">
        <v>0.39900000000000002</v>
      </c>
      <c r="AR11" s="4">
        <v>95</v>
      </c>
      <c r="AS11" s="4">
        <v>67</v>
      </c>
      <c r="AT11" s="4">
        <v>95</v>
      </c>
      <c r="AU11" s="4">
        <v>0.36599999999999999</v>
      </c>
      <c r="AV11" s="4">
        <v>100</v>
      </c>
      <c r="AW11" s="4">
        <v>8.0860000000000003</v>
      </c>
      <c r="AX11" s="4">
        <v>97</v>
      </c>
      <c r="AY11" s="4">
        <v>0.38500000000000001</v>
      </c>
      <c r="AZ11" s="4">
        <v>99</v>
      </c>
      <c r="BA11" s="4">
        <v>79</v>
      </c>
      <c r="BB11" s="4">
        <v>91</v>
      </c>
      <c r="BC11" s="4">
        <v>0.24299999999999999</v>
      </c>
      <c r="BD11" s="4">
        <v>100</v>
      </c>
      <c r="BE11" s="4">
        <v>5.3819999999999997</v>
      </c>
    </row>
    <row r="12" spans="1:57">
      <c r="A12" s="4">
        <v>1</v>
      </c>
      <c r="B12" s="4">
        <v>2</v>
      </c>
      <c r="C12" s="4"/>
      <c r="D12" s="4">
        <v>155</v>
      </c>
      <c r="E12" s="4">
        <v>57.3</v>
      </c>
      <c r="F12" s="4">
        <f t="shared" si="0"/>
        <v>23.850156087408944</v>
      </c>
      <c r="G12" s="4">
        <v>56.9</v>
      </c>
      <c r="H12" s="4">
        <v>35.9</v>
      </c>
      <c r="I12" s="4">
        <v>19.7</v>
      </c>
      <c r="J12" s="4">
        <v>10</v>
      </c>
      <c r="K12" s="4">
        <v>34.700000000000003</v>
      </c>
      <c r="L12" s="4">
        <v>20.100000000000001</v>
      </c>
      <c r="M12" s="4">
        <v>9</v>
      </c>
      <c r="N12" s="5">
        <v>100</v>
      </c>
      <c r="O12" s="4" t="s">
        <v>183</v>
      </c>
      <c r="P12" s="5">
        <v>70</v>
      </c>
      <c r="Q12" s="4" t="s">
        <v>184</v>
      </c>
      <c r="R12" s="5">
        <v>44.44</v>
      </c>
      <c r="S12" s="4" t="s">
        <v>185</v>
      </c>
      <c r="T12" s="5">
        <v>95.65</v>
      </c>
      <c r="U12" s="4" t="s">
        <v>186</v>
      </c>
      <c r="V12" s="5">
        <v>84</v>
      </c>
      <c r="W12" s="4" t="s">
        <v>187</v>
      </c>
      <c r="X12" s="5">
        <v>50</v>
      </c>
      <c r="Y12" s="4" t="s">
        <v>188</v>
      </c>
      <c r="Z12" s="4" t="s">
        <v>133</v>
      </c>
      <c r="AA12" s="4" t="s">
        <v>189</v>
      </c>
      <c r="AB12" s="4" t="s">
        <v>63</v>
      </c>
      <c r="AC12" s="4" t="s">
        <v>190</v>
      </c>
      <c r="AD12" s="4" t="s">
        <v>122</v>
      </c>
      <c r="AE12" s="4" t="s">
        <v>191</v>
      </c>
      <c r="AF12" s="4" t="s">
        <v>133</v>
      </c>
      <c r="AG12" s="4" t="s">
        <v>192</v>
      </c>
      <c r="AH12" s="4" t="s">
        <v>63</v>
      </c>
      <c r="AI12" s="4" t="s">
        <v>193</v>
      </c>
      <c r="AJ12" s="4" t="s">
        <v>84</v>
      </c>
      <c r="AK12" s="4" t="s">
        <v>194</v>
      </c>
      <c r="AL12" s="4">
        <v>22.4</v>
      </c>
      <c r="AM12" s="4">
        <v>20.55</v>
      </c>
      <c r="AN12" s="4">
        <v>298</v>
      </c>
      <c r="AO12" s="4">
        <v>272</v>
      </c>
      <c r="AP12" s="4">
        <v>100</v>
      </c>
      <c r="AQ12" s="4">
        <v>0.45500000000000002</v>
      </c>
      <c r="AR12" s="4">
        <v>96</v>
      </c>
      <c r="AS12" s="4">
        <v>68</v>
      </c>
      <c r="AT12" s="4">
        <v>97</v>
      </c>
      <c r="AU12" s="4">
        <v>0.36899999999999999</v>
      </c>
      <c r="AV12" s="4">
        <v>100</v>
      </c>
      <c r="AW12" s="4">
        <v>4.524</v>
      </c>
      <c r="AX12" s="4">
        <v>97</v>
      </c>
      <c r="AY12" s="4">
        <v>0.40799999999999997</v>
      </c>
      <c r="AZ12" s="4">
        <v>97</v>
      </c>
      <c r="BA12" s="4">
        <v>61</v>
      </c>
      <c r="BB12" s="4">
        <v>97</v>
      </c>
      <c r="BC12" s="4">
        <v>0.36499999999999999</v>
      </c>
      <c r="BD12" s="4">
        <v>100</v>
      </c>
      <c r="BE12" s="4">
        <v>6.0789999999999997</v>
      </c>
    </row>
    <row r="13" spans="1:57">
      <c r="A13" s="4">
        <v>1</v>
      </c>
      <c r="B13" s="4">
        <v>1</v>
      </c>
      <c r="C13" s="4"/>
      <c r="D13" s="4">
        <v>180</v>
      </c>
      <c r="E13" s="4">
        <v>83.8</v>
      </c>
      <c r="F13" s="4">
        <f t="shared" si="0"/>
        <v>25.864197530864196</v>
      </c>
      <c r="G13" s="4">
        <v>83.3</v>
      </c>
      <c r="H13" s="4">
        <v>25</v>
      </c>
      <c r="I13" s="4">
        <v>35.5</v>
      </c>
      <c r="J13" s="4">
        <v>8</v>
      </c>
      <c r="K13" s="4">
        <v>25.3</v>
      </c>
      <c r="L13" s="4">
        <v>35.5</v>
      </c>
      <c r="M13" s="4">
        <v>8</v>
      </c>
      <c r="N13" s="5">
        <v>52.38</v>
      </c>
      <c r="O13" s="4" t="s">
        <v>195</v>
      </c>
      <c r="P13" s="5">
        <v>34.78</v>
      </c>
      <c r="Q13" s="4" t="s">
        <v>196</v>
      </c>
      <c r="R13" s="5">
        <v>25</v>
      </c>
      <c r="S13" s="4" t="s">
        <v>197</v>
      </c>
      <c r="T13" s="5">
        <v>78.95</v>
      </c>
      <c r="U13" s="4" t="s">
        <v>198</v>
      </c>
      <c r="V13" s="5">
        <v>53.849999999999987</v>
      </c>
      <c r="W13" s="4" t="s">
        <v>199</v>
      </c>
      <c r="X13" s="5">
        <v>31.82</v>
      </c>
      <c r="Y13" s="4" t="s">
        <v>200</v>
      </c>
      <c r="Z13" s="4" t="s">
        <v>63</v>
      </c>
      <c r="AA13" s="4" t="s">
        <v>201</v>
      </c>
      <c r="AB13" s="4" t="s">
        <v>63</v>
      </c>
      <c r="AC13" s="4" t="s">
        <v>202</v>
      </c>
      <c r="AD13" s="4" t="s">
        <v>95</v>
      </c>
      <c r="AE13" s="4" t="s">
        <v>203</v>
      </c>
      <c r="AF13" s="4" t="s">
        <v>63</v>
      </c>
      <c r="AG13" s="4" t="s">
        <v>204</v>
      </c>
      <c r="AH13" s="4" t="s">
        <v>76</v>
      </c>
      <c r="AI13" s="4" t="s">
        <v>205</v>
      </c>
      <c r="AJ13" s="4" t="s">
        <v>206</v>
      </c>
      <c r="AK13" s="4" t="s">
        <v>207</v>
      </c>
      <c r="AL13" s="4">
        <v>23.1</v>
      </c>
      <c r="AM13" s="4">
        <v>18.89</v>
      </c>
      <c r="AN13" s="4">
        <v>309</v>
      </c>
      <c r="AO13" s="4">
        <v>238</v>
      </c>
      <c r="AP13" s="4">
        <v>94</v>
      </c>
      <c r="AQ13" s="4">
        <v>0.47299999999999998</v>
      </c>
      <c r="AR13" s="4">
        <v>100</v>
      </c>
      <c r="AS13" s="4">
        <v>49</v>
      </c>
      <c r="AT13" s="4">
        <v>98</v>
      </c>
      <c r="AU13" s="4">
        <v>0.60399999999999998</v>
      </c>
      <c r="AV13" s="4">
        <v>100</v>
      </c>
      <c r="AW13" s="4">
        <v>4.5039999999999996</v>
      </c>
      <c r="AX13" s="4">
        <v>97</v>
      </c>
      <c r="AY13" s="4">
        <v>0.42199999999999999</v>
      </c>
      <c r="AZ13" s="4">
        <v>99</v>
      </c>
      <c r="BA13" s="4">
        <v>67</v>
      </c>
      <c r="BB13" s="4">
        <v>100</v>
      </c>
      <c r="BC13" s="4">
        <v>0.60599999999999998</v>
      </c>
      <c r="BD13" s="4">
        <v>100</v>
      </c>
      <c r="BE13" s="4">
        <v>4.4550000000000001</v>
      </c>
    </row>
    <row r="14" spans="1:57">
      <c r="A14" s="4">
        <v>1</v>
      </c>
      <c r="B14" s="4">
        <v>2</v>
      </c>
      <c r="C14" s="4"/>
      <c r="D14" s="4">
        <v>166</v>
      </c>
      <c r="E14" s="4">
        <v>56.6</v>
      </c>
      <c r="F14" s="4">
        <f t="shared" si="0"/>
        <v>20.53999129046306</v>
      </c>
      <c r="G14" s="4">
        <v>56.7</v>
      </c>
      <c r="H14" s="4">
        <v>28.6</v>
      </c>
      <c r="I14" s="4">
        <v>21.6</v>
      </c>
      <c r="J14" s="4">
        <v>7</v>
      </c>
      <c r="K14" s="4">
        <v>28.3</v>
      </c>
      <c r="L14" s="4">
        <v>22</v>
      </c>
      <c r="M14" s="4">
        <v>6</v>
      </c>
      <c r="N14" s="5">
        <v>77.78</v>
      </c>
      <c r="O14" s="4" t="s">
        <v>208</v>
      </c>
      <c r="P14" s="5">
        <v>31.58</v>
      </c>
      <c r="Q14" s="4" t="s">
        <v>209</v>
      </c>
      <c r="R14" s="5">
        <v>11.11</v>
      </c>
      <c r="S14" s="4" t="s">
        <v>210</v>
      </c>
      <c r="T14" s="5">
        <v>90.91</v>
      </c>
      <c r="U14" s="4" t="s">
        <v>211</v>
      </c>
      <c r="V14" s="5">
        <v>33.33</v>
      </c>
      <c r="W14" s="4" t="s">
        <v>212</v>
      </c>
      <c r="X14" s="5">
        <v>15.38</v>
      </c>
      <c r="Y14" s="4" t="s">
        <v>213</v>
      </c>
      <c r="Z14" s="4" t="s">
        <v>63</v>
      </c>
      <c r="AA14" s="4" t="s">
        <v>214</v>
      </c>
      <c r="AB14" s="4" t="s">
        <v>82</v>
      </c>
      <c r="AC14" s="4" t="s">
        <v>215</v>
      </c>
      <c r="AD14" s="4" t="s">
        <v>66</v>
      </c>
      <c r="AE14" s="4" t="s">
        <v>216</v>
      </c>
      <c r="AF14" s="4" t="s">
        <v>82</v>
      </c>
      <c r="AG14" s="4" t="s">
        <v>217</v>
      </c>
      <c r="AH14" s="4" t="s">
        <v>63</v>
      </c>
      <c r="AI14" s="4" t="s">
        <v>218</v>
      </c>
      <c r="AJ14" s="4" t="s">
        <v>122</v>
      </c>
      <c r="AK14" s="4" t="s">
        <v>219</v>
      </c>
      <c r="AL14" s="4">
        <v>22.6</v>
      </c>
      <c r="AM14" s="4">
        <v>21.03</v>
      </c>
      <c r="AN14" s="4">
        <v>292</v>
      </c>
      <c r="AO14" s="4">
        <v>288</v>
      </c>
      <c r="AP14" s="4">
        <v>100</v>
      </c>
      <c r="AQ14" s="4">
        <v>0.441</v>
      </c>
      <c r="AR14" s="4">
        <v>98</v>
      </c>
      <c r="AS14" s="4">
        <v>55</v>
      </c>
      <c r="AT14" s="4">
        <v>95</v>
      </c>
      <c r="AU14" s="4">
        <v>0.34300000000000003</v>
      </c>
      <c r="AV14" s="4">
        <v>100</v>
      </c>
      <c r="AW14" s="4">
        <v>8.6170000000000009</v>
      </c>
      <c r="AX14" s="4">
        <v>97</v>
      </c>
      <c r="AY14" s="4">
        <v>0.434</v>
      </c>
      <c r="AZ14" s="4">
        <v>93</v>
      </c>
      <c r="BA14" s="4">
        <v>67</v>
      </c>
      <c r="BB14" s="4">
        <v>97</v>
      </c>
      <c r="BC14" s="4">
        <v>0.32300000000000001</v>
      </c>
      <c r="BD14" s="4">
        <v>100</v>
      </c>
      <c r="BE14" s="4">
        <v>4.798</v>
      </c>
    </row>
    <row r="15" spans="1:57">
      <c r="A15" s="4">
        <v>1</v>
      </c>
      <c r="B15" s="4">
        <v>1</v>
      </c>
      <c r="C15" s="4"/>
      <c r="D15" s="4">
        <v>180</v>
      </c>
      <c r="E15" s="4">
        <v>76</v>
      </c>
      <c r="F15" s="4">
        <f t="shared" si="0"/>
        <v>23.456790123456788</v>
      </c>
      <c r="G15" s="4">
        <v>75.8</v>
      </c>
      <c r="H15" s="4">
        <v>25.3</v>
      </c>
      <c r="I15" s="4">
        <v>31.8</v>
      </c>
      <c r="J15" s="4">
        <v>7</v>
      </c>
      <c r="K15" s="4">
        <v>23.1</v>
      </c>
      <c r="L15" s="4">
        <v>32.700000000000003</v>
      </c>
      <c r="M15" s="4">
        <v>6</v>
      </c>
      <c r="N15" s="5">
        <v>95</v>
      </c>
      <c r="O15" s="4" t="s">
        <v>220</v>
      </c>
      <c r="P15" s="5">
        <v>72.73</v>
      </c>
      <c r="Q15" s="4" t="s">
        <v>221</v>
      </c>
      <c r="R15" s="5">
        <v>33.33</v>
      </c>
      <c r="S15" s="4" t="s">
        <v>222</v>
      </c>
      <c r="T15" s="5">
        <v>100</v>
      </c>
      <c r="U15" s="4" t="s">
        <v>223</v>
      </c>
      <c r="V15" s="5">
        <v>78.95</v>
      </c>
      <c r="W15" s="4" t="s">
        <v>224</v>
      </c>
      <c r="X15" s="5">
        <v>71.430000000000007</v>
      </c>
      <c r="Y15" s="4" t="s">
        <v>225</v>
      </c>
      <c r="Z15" s="4" t="s">
        <v>63</v>
      </c>
      <c r="AA15" s="4" t="s">
        <v>226</v>
      </c>
      <c r="AB15" s="4" t="s">
        <v>63</v>
      </c>
      <c r="AC15" s="4" t="s">
        <v>227</v>
      </c>
      <c r="AD15" s="4" t="s">
        <v>95</v>
      </c>
      <c r="AE15" s="4" t="s">
        <v>228</v>
      </c>
      <c r="AF15" s="4" t="s">
        <v>63</v>
      </c>
      <c r="AG15" s="4" t="s">
        <v>229</v>
      </c>
      <c r="AH15" s="4" t="s">
        <v>63</v>
      </c>
      <c r="AI15" s="4" t="s">
        <v>230</v>
      </c>
      <c r="AJ15" s="4" t="s">
        <v>84</v>
      </c>
      <c r="AK15" s="4" t="s">
        <v>231</v>
      </c>
      <c r="AL15" s="4">
        <v>20.079999999999998</v>
      </c>
      <c r="AM15" s="4">
        <v>18.55</v>
      </c>
      <c r="AN15" s="4">
        <v>273</v>
      </c>
      <c r="AO15" s="4">
        <v>259</v>
      </c>
      <c r="AP15" s="4">
        <v>100</v>
      </c>
      <c r="AQ15" s="4">
        <v>0.4</v>
      </c>
      <c r="AR15" s="4">
        <v>97</v>
      </c>
      <c r="AS15" s="4">
        <v>43</v>
      </c>
      <c r="AT15" s="4">
        <v>91</v>
      </c>
      <c r="AU15" s="4">
        <v>0.34200000000000003</v>
      </c>
      <c r="AV15" s="4">
        <v>100</v>
      </c>
      <c r="AW15" s="4">
        <v>2.2069999999999999</v>
      </c>
      <c r="AX15" s="4">
        <v>97</v>
      </c>
      <c r="AY15" s="4">
        <v>0.41899999999999998</v>
      </c>
      <c r="AZ15" s="4">
        <v>98</v>
      </c>
      <c r="BA15" s="4">
        <v>59</v>
      </c>
      <c r="BB15" s="4">
        <v>97</v>
      </c>
      <c r="BC15" s="4">
        <v>0.40699999999999997</v>
      </c>
      <c r="BD15" s="4">
        <v>100</v>
      </c>
      <c r="BE15" s="4">
        <v>3.5470000000000002</v>
      </c>
    </row>
    <row r="16" spans="1:57">
      <c r="A16" s="4">
        <v>1</v>
      </c>
      <c r="B16" s="4">
        <v>1</v>
      </c>
      <c r="C16" s="4"/>
      <c r="D16" s="4">
        <v>174</v>
      </c>
      <c r="E16" s="4">
        <v>58.6</v>
      </c>
      <c r="F16" s="4">
        <f t="shared" si="0"/>
        <v>19.355264896287487</v>
      </c>
      <c r="G16" s="4">
        <v>62.5</v>
      </c>
      <c r="H16" s="4">
        <v>6.5</v>
      </c>
      <c r="I16" s="4">
        <v>31.1</v>
      </c>
      <c r="J16" s="4">
        <v>1</v>
      </c>
      <c r="K16" s="4">
        <v>8.3000000000000007</v>
      </c>
      <c r="L16" s="4">
        <v>32.5</v>
      </c>
      <c r="M16" s="4">
        <v>1</v>
      </c>
      <c r="N16" s="5">
        <v>100</v>
      </c>
      <c r="O16" s="4" t="s">
        <v>232</v>
      </c>
      <c r="P16" s="5">
        <v>62.5</v>
      </c>
      <c r="Q16" s="4" t="s">
        <v>233</v>
      </c>
      <c r="R16" s="5">
        <v>35</v>
      </c>
      <c r="S16" s="4" t="s">
        <v>234</v>
      </c>
      <c r="T16" s="5">
        <v>95.24</v>
      </c>
      <c r="U16" s="4" t="s">
        <v>235</v>
      </c>
      <c r="V16" s="5">
        <v>76.47</v>
      </c>
      <c r="W16" s="4" t="s">
        <v>236</v>
      </c>
      <c r="X16" s="5">
        <v>62.5</v>
      </c>
      <c r="Y16" s="4" t="s">
        <v>237</v>
      </c>
      <c r="Z16" s="4" t="s">
        <v>82</v>
      </c>
      <c r="AA16" s="4" t="s">
        <v>238</v>
      </c>
      <c r="AB16" s="4" t="s">
        <v>63</v>
      </c>
      <c r="AC16" s="4" t="s">
        <v>239</v>
      </c>
      <c r="AD16" s="4" t="s">
        <v>109</v>
      </c>
      <c r="AE16" s="4" t="s">
        <v>240</v>
      </c>
      <c r="AF16" s="4" t="s">
        <v>133</v>
      </c>
      <c r="AG16" s="4" t="s">
        <v>241</v>
      </c>
      <c r="AH16" s="4" t="s">
        <v>82</v>
      </c>
      <c r="AI16" s="4" t="s">
        <v>242</v>
      </c>
      <c r="AJ16" s="4" t="s">
        <v>122</v>
      </c>
      <c r="AK16" s="4" t="s">
        <v>243</v>
      </c>
      <c r="AL16" s="4">
        <v>20.28</v>
      </c>
      <c r="AM16" s="4">
        <v>19.2</v>
      </c>
      <c r="AN16" s="4">
        <v>270</v>
      </c>
      <c r="AO16" s="4">
        <v>259</v>
      </c>
      <c r="AP16" s="4">
        <v>97</v>
      </c>
      <c r="AQ16" s="4">
        <v>0.36299999999999999</v>
      </c>
      <c r="AR16" s="4">
        <v>100</v>
      </c>
      <c r="AS16" s="4">
        <v>56</v>
      </c>
      <c r="AT16" s="4">
        <v>95</v>
      </c>
      <c r="AU16" s="4">
        <v>0.32100000000000001</v>
      </c>
      <c r="AV16" s="4">
        <v>100</v>
      </c>
      <c r="AW16" s="4">
        <v>5.85</v>
      </c>
      <c r="AX16" s="4">
        <v>100</v>
      </c>
      <c r="AY16" s="6">
        <v>0.38</v>
      </c>
      <c r="AZ16" s="4">
        <v>99</v>
      </c>
      <c r="BA16" s="4">
        <v>53</v>
      </c>
      <c r="BB16" s="4">
        <v>92</v>
      </c>
      <c r="BC16" s="6">
        <v>0.3</v>
      </c>
      <c r="BD16" s="4">
        <v>100</v>
      </c>
      <c r="BE16" s="4">
        <v>9.2910000000000004</v>
      </c>
    </row>
    <row r="17" spans="1:57">
      <c r="A17" s="4">
        <v>1</v>
      </c>
      <c r="B17" s="4">
        <v>1</v>
      </c>
      <c r="C17" s="4"/>
      <c r="D17" s="4">
        <v>173.5</v>
      </c>
      <c r="E17" s="4">
        <v>50.3</v>
      </c>
      <c r="F17" s="4">
        <f t="shared" si="0"/>
        <v>16.70971439012034</v>
      </c>
      <c r="G17" s="4">
        <v>49.5</v>
      </c>
      <c r="H17" s="4">
        <v>9.9</v>
      </c>
      <c r="I17" s="4">
        <v>25</v>
      </c>
      <c r="J17" s="4">
        <v>1</v>
      </c>
      <c r="K17" s="4">
        <v>9.1</v>
      </c>
      <c r="L17" s="4">
        <v>25</v>
      </c>
      <c r="M17" s="4">
        <v>1</v>
      </c>
      <c r="N17" s="5">
        <v>100</v>
      </c>
      <c r="O17" s="4" t="s">
        <v>244</v>
      </c>
      <c r="P17" s="5">
        <v>52.94</v>
      </c>
      <c r="Q17" s="4" t="s">
        <v>245</v>
      </c>
      <c r="R17" s="5">
        <v>19.05</v>
      </c>
      <c r="S17" s="4" t="s">
        <v>246</v>
      </c>
      <c r="T17" s="5">
        <v>100</v>
      </c>
      <c r="U17" s="4" t="s">
        <v>247</v>
      </c>
      <c r="V17" s="5">
        <v>63.16</v>
      </c>
      <c r="W17" s="4" t="s">
        <v>248</v>
      </c>
      <c r="X17" s="5">
        <v>73.680000000000007</v>
      </c>
      <c r="Y17" s="4" t="s">
        <v>249</v>
      </c>
      <c r="Z17" s="4" t="s">
        <v>63</v>
      </c>
      <c r="AA17" s="4" t="s">
        <v>250</v>
      </c>
      <c r="AB17" s="4" t="s">
        <v>63</v>
      </c>
      <c r="AC17" s="4" t="s">
        <v>251</v>
      </c>
      <c r="AD17" s="4" t="s">
        <v>109</v>
      </c>
      <c r="AE17" s="4" t="s">
        <v>252</v>
      </c>
      <c r="AF17" s="4" t="s">
        <v>82</v>
      </c>
      <c r="AG17" s="4" t="s">
        <v>253</v>
      </c>
      <c r="AH17" s="4" t="s">
        <v>63</v>
      </c>
      <c r="AI17" s="4" t="s">
        <v>254</v>
      </c>
      <c r="AJ17" s="4" t="s">
        <v>122</v>
      </c>
      <c r="AK17" s="4" t="s">
        <v>255</v>
      </c>
      <c r="AL17" s="4">
        <v>19.61</v>
      </c>
      <c r="AM17" s="4">
        <v>20.04</v>
      </c>
      <c r="AN17" s="4">
        <v>276</v>
      </c>
      <c r="AO17" s="4">
        <v>260</v>
      </c>
      <c r="AP17" s="4">
        <v>94</v>
      </c>
      <c r="AQ17" s="4">
        <v>0.41399999999999998</v>
      </c>
      <c r="AR17" s="4">
        <v>98</v>
      </c>
      <c r="AS17" s="4">
        <v>59</v>
      </c>
      <c r="AT17" s="4">
        <v>95</v>
      </c>
      <c r="AU17" s="4">
        <v>0.33</v>
      </c>
      <c r="AV17" s="4">
        <v>100</v>
      </c>
      <c r="AW17" s="4">
        <v>7.3049999999999997</v>
      </c>
      <c r="AX17" s="4">
        <v>94</v>
      </c>
      <c r="AY17" s="6">
        <v>0.42</v>
      </c>
      <c r="AZ17" s="4">
        <v>96</v>
      </c>
      <c r="BA17" s="4">
        <v>64</v>
      </c>
      <c r="BB17" s="4">
        <v>97</v>
      </c>
      <c r="BC17" s="4">
        <v>0.34200000000000003</v>
      </c>
      <c r="BD17" s="4">
        <v>100</v>
      </c>
      <c r="BE17" s="4">
        <v>6.8940000000000001</v>
      </c>
    </row>
    <row r="18" spans="1:57">
      <c r="A18" s="4">
        <v>1</v>
      </c>
      <c r="B18" s="4">
        <v>1</v>
      </c>
      <c r="C18" s="4"/>
      <c r="D18" s="4">
        <v>171.5</v>
      </c>
      <c r="E18" s="4">
        <v>60.1</v>
      </c>
      <c r="F18" s="4">
        <f t="shared" si="0"/>
        <v>20.433662844563063</v>
      </c>
      <c r="G18" s="4">
        <v>58.1</v>
      </c>
      <c r="H18" s="4">
        <v>22.9</v>
      </c>
      <c r="I18" s="4">
        <v>25.6</v>
      </c>
      <c r="J18" s="4">
        <v>5</v>
      </c>
      <c r="K18" s="4">
        <v>20.5</v>
      </c>
      <c r="L18" s="4">
        <v>25.5</v>
      </c>
      <c r="M18" s="4">
        <v>4</v>
      </c>
      <c r="N18" s="5">
        <v>95</v>
      </c>
      <c r="O18" s="4" t="s">
        <v>256</v>
      </c>
      <c r="P18" s="5">
        <v>38.1</v>
      </c>
      <c r="Q18" s="4" t="s">
        <v>257</v>
      </c>
      <c r="R18" s="5">
        <v>30.43</v>
      </c>
      <c r="S18" s="4" t="s">
        <v>258</v>
      </c>
      <c r="T18" s="5">
        <v>80</v>
      </c>
      <c r="U18" s="4" t="s">
        <v>259</v>
      </c>
      <c r="V18" s="5">
        <v>47.37</v>
      </c>
      <c r="W18" s="4" t="s">
        <v>260</v>
      </c>
      <c r="X18" s="5">
        <v>42.86</v>
      </c>
      <c r="Y18" s="4" t="s">
        <v>261</v>
      </c>
      <c r="Z18" s="4" t="s">
        <v>82</v>
      </c>
      <c r="AA18" s="4" t="s">
        <v>262</v>
      </c>
      <c r="AB18" s="4" t="s">
        <v>63</v>
      </c>
      <c r="AC18" s="4" t="s">
        <v>263</v>
      </c>
      <c r="AD18" s="4" t="s">
        <v>206</v>
      </c>
      <c r="AE18" s="4" t="s">
        <v>264</v>
      </c>
      <c r="AF18" s="4" t="s">
        <v>63</v>
      </c>
      <c r="AG18" s="4" t="s">
        <v>265</v>
      </c>
      <c r="AH18" s="4" t="s">
        <v>82</v>
      </c>
      <c r="AI18" s="4" t="s">
        <v>266</v>
      </c>
      <c r="AJ18" s="4" t="s">
        <v>109</v>
      </c>
      <c r="AK18" s="4" t="s">
        <v>267</v>
      </c>
      <c r="AL18" s="4">
        <v>23.4</v>
      </c>
      <c r="AM18" s="4">
        <v>20.61</v>
      </c>
      <c r="AN18" s="4">
        <v>332</v>
      </c>
      <c r="AO18" s="4">
        <v>229</v>
      </c>
      <c r="AP18" s="4">
        <v>97</v>
      </c>
      <c r="AQ18" s="4">
        <v>0.38500000000000001</v>
      </c>
      <c r="AR18" s="4">
        <v>98</v>
      </c>
      <c r="AS18" s="4">
        <v>56</v>
      </c>
      <c r="AT18" s="4">
        <v>92</v>
      </c>
      <c r="AU18" s="4">
        <v>0.33</v>
      </c>
      <c r="AV18" s="4">
        <v>100</v>
      </c>
      <c r="AW18" s="4">
        <v>4.5830000000000002</v>
      </c>
      <c r="AX18" s="4">
        <v>100</v>
      </c>
      <c r="AY18" s="4">
        <v>0.373</v>
      </c>
      <c r="AZ18" s="4">
        <v>98</v>
      </c>
      <c r="BA18" s="4">
        <v>71</v>
      </c>
      <c r="BB18" s="4">
        <v>91</v>
      </c>
      <c r="BC18" s="4">
        <v>0.34899999999999998</v>
      </c>
      <c r="BD18" s="4">
        <v>75</v>
      </c>
      <c r="BE18" s="4">
        <v>4.3150000000000004</v>
      </c>
    </row>
    <row r="19" spans="1:57">
      <c r="A19" s="4">
        <v>1</v>
      </c>
      <c r="B19" s="4">
        <v>1</v>
      </c>
      <c r="C19" s="4"/>
      <c r="D19" s="4">
        <v>189</v>
      </c>
      <c r="E19" s="4">
        <v>93</v>
      </c>
      <c r="F19" s="4">
        <f t="shared" si="0"/>
        <v>26.035105400184765</v>
      </c>
      <c r="G19" s="4">
        <v>88.9</v>
      </c>
      <c r="H19" s="4">
        <v>19</v>
      </c>
      <c r="I19" s="4">
        <v>43.3</v>
      </c>
      <c r="J19" s="4">
        <v>7</v>
      </c>
      <c r="K19" s="4">
        <v>14.8</v>
      </c>
      <c r="L19" s="4">
        <v>43.4</v>
      </c>
      <c r="M19" s="4">
        <v>5</v>
      </c>
      <c r="N19" s="5">
        <v>89.47</v>
      </c>
      <c r="O19" s="4" t="s">
        <v>268</v>
      </c>
      <c r="P19" s="5">
        <v>60</v>
      </c>
      <c r="Q19" s="4" t="s">
        <v>269</v>
      </c>
      <c r="R19" s="5">
        <v>47.62</v>
      </c>
      <c r="S19" s="4" t="s">
        <v>270</v>
      </c>
      <c r="T19" s="5">
        <v>90.48</v>
      </c>
      <c r="U19" s="4" t="s">
        <v>271</v>
      </c>
      <c r="V19" s="5">
        <v>88.89</v>
      </c>
      <c r="W19" s="4" t="s">
        <v>272</v>
      </c>
      <c r="X19" s="5">
        <v>73.680000000000007</v>
      </c>
      <c r="Y19" s="4" t="s">
        <v>273</v>
      </c>
      <c r="Z19" s="4" t="s">
        <v>63</v>
      </c>
      <c r="AA19" s="4" t="s">
        <v>274</v>
      </c>
      <c r="AB19" s="4" t="s">
        <v>82</v>
      </c>
      <c r="AC19" s="4" t="s">
        <v>275</v>
      </c>
      <c r="AD19" s="4" t="s">
        <v>276</v>
      </c>
      <c r="AE19" s="4" t="s">
        <v>277</v>
      </c>
      <c r="AF19" s="4" t="s">
        <v>82</v>
      </c>
      <c r="AG19" s="4" t="s">
        <v>278</v>
      </c>
      <c r="AH19" s="4" t="s">
        <v>76</v>
      </c>
      <c r="AI19" s="4" t="s">
        <v>279</v>
      </c>
      <c r="AJ19" s="4" t="s">
        <v>122</v>
      </c>
      <c r="AK19" s="4" t="s">
        <v>280</v>
      </c>
      <c r="AL19" s="4">
        <v>18.7</v>
      </c>
      <c r="AM19" s="4">
        <v>18.420000000000002</v>
      </c>
      <c r="AN19" s="4">
        <v>260</v>
      </c>
      <c r="AO19" s="4">
        <v>266</v>
      </c>
      <c r="AP19" s="4">
        <v>100</v>
      </c>
      <c r="AQ19" s="4">
        <v>0.40100000000000002</v>
      </c>
      <c r="AR19" s="4">
        <v>98</v>
      </c>
      <c r="AS19" s="4">
        <v>88</v>
      </c>
      <c r="AT19" s="4">
        <v>89</v>
      </c>
      <c r="AU19" s="4">
        <v>0.33200000000000002</v>
      </c>
      <c r="AV19" s="4">
        <v>100</v>
      </c>
      <c r="AW19" s="4">
        <v>3.6850000000000001</v>
      </c>
      <c r="AX19" s="4">
        <v>100</v>
      </c>
      <c r="AY19" s="4">
        <v>0.39800000000000002</v>
      </c>
      <c r="AZ19" s="4">
        <v>100</v>
      </c>
      <c r="BA19" s="4">
        <v>47</v>
      </c>
      <c r="BB19" s="4">
        <v>100</v>
      </c>
      <c r="BC19" s="4">
        <v>0.35399999999999998</v>
      </c>
      <c r="BD19" s="4">
        <v>100</v>
      </c>
      <c r="BE19" s="4">
        <v>4.0439999999999996</v>
      </c>
    </row>
    <row r="20" spans="1:57">
      <c r="A20" s="4">
        <v>1</v>
      </c>
      <c r="B20" s="4">
        <v>2</v>
      </c>
      <c r="C20" s="4"/>
      <c r="D20" s="4">
        <v>165</v>
      </c>
      <c r="E20" s="4">
        <v>51</v>
      </c>
      <c r="F20" s="4">
        <f t="shared" si="0"/>
        <v>18.732782369146008</v>
      </c>
      <c r="G20" s="4">
        <v>51.7</v>
      </c>
      <c r="H20" s="4">
        <v>21.7</v>
      </c>
      <c r="I20" s="4">
        <v>21.6</v>
      </c>
      <c r="J20" s="4">
        <v>4</v>
      </c>
      <c r="K20" s="4">
        <v>23.8</v>
      </c>
      <c r="L20" s="4">
        <v>21.3</v>
      </c>
      <c r="M20" s="4">
        <v>4</v>
      </c>
      <c r="N20" s="5">
        <v>100</v>
      </c>
      <c r="O20" s="4" t="s">
        <v>281</v>
      </c>
      <c r="P20" s="5">
        <v>36.36</v>
      </c>
      <c r="Q20" s="4" t="s">
        <v>282</v>
      </c>
      <c r="R20" s="5">
        <v>37.5</v>
      </c>
      <c r="S20" s="4" t="s">
        <v>283</v>
      </c>
      <c r="T20" s="5">
        <v>52.38</v>
      </c>
      <c r="U20" s="4" t="s">
        <v>284</v>
      </c>
      <c r="V20" s="5">
        <v>38.89</v>
      </c>
      <c r="W20" s="4" t="s">
        <v>285</v>
      </c>
      <c r="X20" s="5">
        <v>63.16</v>
      </c>
      <c r="Y20" s="4" t="s">
        <v>286</v>
      </c>
      <c r="Z20" s="4" t="s">
        <v>82</v>
      </c>
      <c r="AA20" s="4" t="s">
        <v>287</v>
      </c>
      <c r="AB20" s="4" t="s">
        <v>93</v>
      </c>
      <c r="AC20" s="4" t="s">
        <v>288</v>
      </c>
      <c r="AD20" s="4" t="s">
        <v>289</v>
      </c>
      <c r="AE20" s="4" t="s">
        <v>290</v>
      </c>
      <c r="AF20" s="4" t="s">
        <v>76</v>
      </c>
      <c r="AG20" s="4" t="s">
        <v>291</v>
      </c>
      <c r="AH20" s="4" t="s">
        <v>63</v>
      </c>
      <c r="AI20" s="4" t="s">
        <v>292</v>
      </c>
      <c r="AJ20" s="4" t="s">
        <v>206</v>
      </c>
      <c r="AK20" s="4" t="s">
        <v>293</v>
      </c>
      <c r="AL20" s="4">
        <v>22.6</v>
      </c>
      <c r="AM20" s="4">
        <v>20.190000000000001</v>
      </c>
      <c r="AN20" s="4">
        <v>339</v>
      </c>
      <c r="AO20" s="4">
        <v>315</v>
      </c>
      <c r="AP20" s="4">
        <v>100</v>
      </c>
      <c r="AQ20" s="4">
        <v>0.41399999999999998</v>
      </c>
      <c r="AR20" s="4">
        <v>99</v>
      </c>
      <c r="AS20" s="4">
        <v>66</v>
      </c>
      <c r="AT20" s="4">
        <v>94</v>
      </c>
      <c r="AU20" s="4">
        <v>0.34899999999999998</v>
      </c>
      <c r="AV20" s="4">
        <v>75</v>
      </c>
      <c r="AW20" s="4">
        <v>3.9830000000000001</v>
      </c>
      <c r="AX20" s="4">
        <v>94</v>
      </c>
      <c r="AY20" s="4">
        <v>0.41899999999999998</v>
      </c>
      <c r="AZ20" s="4">
        <v>96</v>
      </c>
      <c r="BA20" s="4">
        <v>59</v>
      </c>
      <c r="BB20" s="4">
        <v>85</v>
      </c>
      <c r="BC20" s="4">
        <v>0.35599999999999998</v>
      </c>
      <c r="BD20" s="4">
        <v>100</v>
      </c>
      <c r="BE20" s="4">
        <v>3.6629999999999998</v>
      </c>
    </row>
    <row r="21" spans="1:57">
      <c r="A21" s="4">
        <v>1</v>
      </c>
      <c r="B21" s="4">
        <v>1</v>
      </c>
      <c r="C21" s="4"/>
      <c r="D21" s="4">
        <v>173</v>
      </c>
      <c r="E21" s="4">
        <v>60</v>
      </c>
      <c r="F21" s="4">
        <f t="shared" si="0"/>
        <v>20.047445621303751</v>
      </c>
      <c r="G21" s="4">
        <v>59.9</v>
      </c>
      <c r="H21" s="4">
        <v>15.1</v>
      </c>
      <c r="I21" s="4">
        <v>28.2</v>
      </c>
      <c r="J21" s="4">
        <v>3</v>
      </c>
      <c r="K21" s="4">
        <v>11.4</v>
      </c>
      <c r="L21" s="4">
        <v>29.4</v>
      </c>
      <c r="M21" s="4">
        <v>2</v>
      </c>
      <c r="N21" s="5">
        <v>70</v>
      </c>
      <c r="O21" s="4" t="s">
        <v>294</v>
      </c>
      <c r="P21" s="5">
        <v>56.25</v>
      </c>
      <c r="Q21" s="4" t="s">
        <v>295</v>
      </c>
      <c r="R21" s="5">
        <v>33.33</v>
      </c>
      <c r="S21" s="4" t="s">
        <v>296</v>
      </c>
      <c r="T21" s="5">
        <v>100</v>
      </c>
      <c r="U21" s="4" t="s">
        <v>297</v>
      </c>
      <c r="V21" s="5">
        <v>36.840000000000003</v>
      </c>
      <c r="W21" s="4" t="s">
        <v>298</v>
      </c>
      <c r="X21" s="5">
        <v>46.67</v>
      </c>
      <c r="Y21" s="4" t="s">
        <v>299</v>
      </c>
      <c r="Z21" s="4" t="s">
        <v>63</v>
      </c>
      <c r="AA21" s="4" t="s">
        <v>300</v>
      </c>
      <c r="AB21" s="4" t="s">
        <v>63</v>
      </c>
      <c r="AC21" s="4" t="s">
        <v>301</v>
      </c>
      <c r="AD21" s="4" t="s">
        <v>66</v>
      </c>
      <c r="AE21" s="4" t="s">
        <v>302</v>
      </c>
      <c r="AF21" s="4" t="s">
        <v>63</v>
      </c>
      <c r="AG21" s="4" t="s">
        <v>303</v>
      </c>
      <c r="AH21" s="4" t="s">
        <v>82</v>
      </c>
      <c r="AI21" s="4" t="s">
        <v>304</v>
      </c>
      <c r="AJ21" s="4" t="s">
        <v>68</v>
      </c>
      <c r="AK21" s="4" t="s">
        <v>305</v>
      </c>
      <c r="AL21" s="4">
        <v>19.3</v>
      </c>
      <c r="AM21" s="4">
        <v>18.38</v>
      </c>
      <c r="AN21" s="4">
        <v>256</v>
      </c>
      <c r="AO21" s="4">
        <v>234</v>
      </c>
      <c r="AP21" s="4">
        <v>100</v>
      </c>
      <c r="AQ21" s="4">
        <v>0.435</v>
      </c>
      <c r="AR21" s="4">
        <v>96</v>
      </c>
      <c r="AS21" s="4">
        <v>119</v>
      </c>
      <c r="AT21" s="4">
        <v>100</v>
      </c>
      <c r="AU21" s="4">
        <v>0.372</v>
      </c>
      <c r="AV21" s="4">
        <v>100</v>
      </c>
      <c r="AW21" s="6">
        <v>9.36</v>
      </c>
      <c r="AX21" s="4">
        <v>97</v>
      </c>
      <c r="AY21" s="4">
        <v>0.379</v>
      </c>
      <c r="AZ21" s="4">
        <v>99</v>
      </c>
      <c r="BA21" s="4">
        <v>103</v>
      </c>
      <c r="BB21" s="4">
        <v>92</v>
      </c>
      <c r="BC21" s="4">
        <v>0.34899999999999998</v>
      </c>
      <c r="BD21" s="4">
        <v>75</v>
      </c>
      <c r="BE21" s="4">
        <v>4.3780000000000001</v>
      </c>
    </row>
    <row r="22" spans="1:57">
      <c r="A22" s="4">
        <v>2</v>
      </c>
      <c r="B22" s="4">
        <v>2</v>
      </c>
      <c r="C22" s="4"/>
      <c r="D22" s="4">
        <v>158</v>
      </c>
      <c r="E22" s="4">
        <v>52.8</v>
      </c>
      <c r="F22" s="4">
        <f t="shared" si="0"/>
        <v>21.150456657586922</v>
      </c>
      <c r="G22" s="4">
        <v>50.5</v>
      </c>
      <c r="H22" s="4">
        <v>27.3</v>
      </c>
      <c r="I22" s="4">
        <v>20.7</v>
      </c>
      <c r="J22" s="4">
        <v>6</v>
      </c>
      <c r="K22" s="4">
        <v>26.1</v>
      </c>
      <c r="L22" s="4">
        <v>19.899999999999999</v>
      </c>
      <c r="M22" s="4">
        <v>4</v>
      </c>
      <c r="N22" s="5">
        <v>95</v>
      </c>
      <c r="O22" s="4" t="s">
        <v>306</v>
      </c>
      <c r="P22" s="5">
        <v>69.23</v>
      </c>
      <c r="Q22" s="4" t="s">
        <v>307</v>
      </c>
      <c r="R22" s="5">
        <v>41.18</v>
      </c>
      <c r="S22" s="4" t="s">
        <v>70</v>
      </c>
      <c r="T22" s="5">
        <v>100</v>
      </c>
      <c r="U22" s="4" t="s">
        <v>308</v>
      </c>
      <c r="V22" s="5">
        <v>59.09</v>
      </c>
      <c r="W22" s="4" t="s">
        <v>309</v>
      </c>
      <c r="X22" s="5">
        <v>62.5</v>
      </c>
      <c r="Y22" s="4" t="s">
        <v>310</v>
      </c>
      <c r="Z22" s="4" t="s">
        <v>133</v>
      </c>
      <c r="AA22" s="4" t="s">
        <v>311</v>
      </c>
      <c r="AB22" s="4" t="s">
        <v>82</v>
      </c>
      <c r="AC22" s="4" t="s">
        <v>312</v>
      </c>
      <c r="AD22" s="4" t="s">
        <v>313</v>
      </c>
      <c r="AE22" s="4" t="s">
        <v>314</v>
      </c>
      <c r="AF22" s="4" t="s">
        <v>82</v>
      </c>
      <c r="AG22" s="4" t="s">
        <v>315</v>
      </c>
      <c r="AH22" s="4" t="s">
        <v>63</v>
      </c>
      <c r="AI22" s="4" t="s">
        <v>316</v>
      </c>
      <c r="AJ22" s="4" t="s">
        <v>276</v>
      </c>
      <c r="AK22" s="4" t="s">
        <v>317</v>
      </c>
      <c r="AL22" s="4">
        <v>21.4</v>
      </c>
      <c r="AM22" s="4">
        <v>20.14</v>
      </c>
      <c r="AN22" s="4">
        <v>374</v>
      </c>
      <c r="AO22" s="4">
        <v>306</v>
      </c>
      <c r="AP22" s="4">
        <v>100</v>
      </c>
      <c r="AQ22" s="4">
        <v>0.45500000000000002</v>
      </c>
      <c r="AR22" s="4">
        <v>97</v>
      </c>
      <c r="AS22" s="4">
        <v>66</v>
      </c>
      <c r="AT22" s="4">
        <v>92</v>
      </c>
      <c r="AU22" s="4">
        <v>0.33600000000000002</v>
      </c>
      <c r="AV22" s="4">
        <v>100</v>
      </c>
      <c r="AW22" s="4">
        <v>5.0819999999999999</v>
      </c>
      <c r="AX22" s="4">
        <v>94</v>
      </c>
      <c r="AY22" s="4">
        <v>0.36599999999999999</v>
      </c>
      <c r="AZ22" s="4">
        <v>98</v>
      </c>
      <c r="BA22" s="4">
        <v>56</v>
      </c>
      <c r="BB22" s="4">
        <v>95</v>
      </c>
      <c r="BC22" s="4">
        <v>0.34200000000000003</v>
      </c>
      <c r="BD22" s="4">
        <v>100</v>
      </c>
      <c r="BE22" s="6">
        <v>2.0499999999999998</v>
      </c>
    </row>
    <row r="23" spans="1:57">
      <c r="A23" s="4">
        <v>2</v>
      </c>
      <c r="B23" s="4">
        <v>1</v>
      </c>
      <c r="C23" s="4"/>
      <c r="D23" s="4">
        <v>183</v>
      </c>
      <c r="E23" s="4">
        <v>60</v>
      </c>
      <c r="F23" s="4">
        <f t="shared" si="0"/>
        <v>17.916330735465376</v>
      </c>
      <c r="G23" s="4">
        <v>58.5</v>
      </c>
      <c r="H23" s="4">
        <v>16.2</v>
      </c>
      <c r="I23" s="4">
        <v>27.9</v>
      </c>
      <c r="J23" s="4">
        <v>3</v>
      </c>
      <c r="K23" s="4">
        <v>13</v>
      </c>
      <c r="L23" s="4">
        <v>28.1</v>
      </c>
      <c r="M23" s="4">
        <v>2</v>
      </c>
      <c r="N23" s="5">
        <v>100</v>
      </c>
      <c r="O23" s="4" t="s">
        <v>318</v>
      </c>
      <c r="P23" s="5">
        <v>57.89</v>
      </c>
      <c r="Q23" s="4" t="s">
        <v>319</v>
      </c>
      <c r="R23" s="5">
        <v>43.48</v>
      </c>
      <c r="S23" s="4" t="s">
        <v>320</v>
      </c>
      <c r="T23" s="5">
        <v>100</v>
      </c>
      <c r="U23" s="4" t="s">
        <v>321</v>
      </c>
      <c r="V23" s="5">
        <v>55.000000000000007</v>
      </c>
      <c r="W23" s="4" t="s">
        <v>322</v>
      </c>
      <c r="X23" s="5">
        <v>57.89</v>
      </c>
      <c r="Y23" s="4" t="s">
        <v>323</v>
      </c>
      <c r="Z23" s="4" t="s">
        <v>63</v>
      </c>
      <c r="AA23" s="4" t="s">
        <v>324</v>
      </c>
      <c r="AB23" s="4" t="s">
        <v>82</v>
      </c>
      <c r="AC23" s="4" t="s">
        <v>325</v>
      </c>
      <c r="AD23" s="4" t="s">
        <v>66</v>
      </c>
      <c r="AE23" s="4" t="s">
        <v>326</v>
      </c>
      <c r="AF23" s="4" t="s">
        <v>63</v>
      </c>
      <c r="AG23" s="4" t="s">
        <v>327</v>
      </c>
      <c r="AH23" s="4" t="s">
        <v>82</v>
      </c>
      <c r="AI23" s="4" t="s">
        <v>328</v>
      </c>
      <c r="AJ23" s="4" t="s">
        <v>84</v>
      </c>
      <c r="AK23" s="4" t="s">
        <v>329</v>
      </c>
      <c r="AL23" s="4">
        <v>19</v>
      </c>
      <c r="AM23" s="4">
        <v>19.3</v>
      </c>
      <c r="AN23" s="4">
        <v>308</v>
      </c>
      <c r="AO23" s="4">
        <v>220</v>
      </c>
      <c r="AP23" s="4">
        <v>97</v>
      </c>
      <c r="AQ23" s="4">
        <v>0.51600000000000001</v>
      </c>
      <c r="AR23" s="4">
        <v>100</v>
      </c>
      <c r="AS23" s="4">
        <v>110</v>
      </c>
      <c r="AT23" s="4">
        <v>100</v>
      </c>
      <c r="AU23" s="4">
        <v>0.495</v>
      </c>
      <c r="AV23" s="4">
        <v>100</v>
      </c>
      <c r="AW23" s="4">
        <v>6.3289999999999997</v>
      </c>
      <c r="AX23" s="4">
        <v>94</v>
      </c>
      <c r="AY23" s="4">
        <v>0.46300000000000002</v>
      </c>
      <c r="AZ23" s="4">
        <v>95</v>
      </c>
      <c r="BA23" s="4">
        <v>94</v>
      </c>
      <c r="BB23" s="4">
        <v>98</v>
      </c>
      <c r="BC23" s="6">
        <v>0.4</v>
      </c>
      <c r="BD23" s="4">
        <v>100</v>
      </c>
      <c r="BE23" s="4">
        <v>3.8119999999999998</v>
      </c>
    </row>
    <row r="24" spans="1:57">
      <c r="A24" s="4">
        <v>2</v>
      </c>
      <c r="B24" s="4">
        <v>2</v>
      </c>
      <c r="C24" s="4"/>
      <c r="D24" s="4">
        <v>174</v>
      </c>
      <c r="E24" s="4">
        <v>57.2</v>
      </c>
      <c r="F24" s="4">
        <f t="shared" si="0"/>
        <v>18.89285242436253</v>
      </c>
      <c r="G24" s="4">
        <v>53.1</v>
      </c>
      <c r="H24" s="4">
        <v>28.8</v>
      </c>
      <c r="I24" s="4">
        <v>21.7</v>
      </c>
      <c r="J24" s="4">
        <v>6</v>
      </c>
      <c r="K24" s="4">
        <v>24.9</v>
      </c>
      <c r="L24" s="4">
        <v>21.3</v>
      </c>
      <c r="M24" s="4">
        <v>5</v>
      </c>
      <c r="N24" s="5">
        <v>85</v>
      </c>
      <c r="O24" s="4" t="s">
        <v>330</v>
      </c>
      <c r="P24" s="5">
        <v>47.62</v>
      </c>
      <c r="Q24" s="4" t="s">
        <v>331</v>
      </c>
      <c r="R24" s="5">
        <v>40</v>
      </c>
      <c r="S24" s="4" t="s">
        <v>332</v>
      </c>
      <c r="T24" s="5">
        <v>83.33</v>
      </c>
      <c r="U24" s="4" t="s">
        <v>333</v>
      </c>
      <c r="V24" s="5">
        <v>52.38</v>
      </c>
      <c r="W24" s="4" t="s">
        <v>334</v>
      </c>
      <c r="X24" s="5">
        <v>71.430000000000007</v>
      </c>
      <c r="Y24" s="4" t="s">
        <v>335</v>
      </c>
      <c r="Z24" s="4" t="s">
        <v>93</v>
      </c>
      <c r="AA24" s="4" t="s">
        <v>336</v>
      </c>
      <c r="AB24" s="4" t="s">
        <v>63</v>
      </c>
      <c r="AC24" s="4" t="s">
        <v>337</v>
      </c>
      <c r="AD24" s="4" t="s">
        <v>313</v>
      </c>
      <c r="AE24" s="4" t="s">
        <v>338</v>
      </c>
      <c r="AF24" s="4" t="s">
        <v>133</v>
      </c>
      <c r="AG24" s="4" t="s">
        <v>339</v>
      </c>
      <c r="AH24" s="4" t="s">
        <v>63</v>
      </c>
      <c r="AI24" s="4" t="s">
        <v>340</v>
      </c>
      <c r="AJ24" s="4" t="s">
        <v>95</v>
      </c>
      <c r="AK24" s="4" t="s">
        <v>341</v>
      </c>
      <c r="AL24" s="4">
        <v>24.7</v>
      </c>
      <c r="AM24" s="4">
        <v>22.53</v>
      </c>
      <c r="AN24" s="7">
        <v>446</v>
      </c>
      <c r="AO24" s="4">
        <v>308</v>
      </c>
      <c r="AP24" s="4">
        <v>97</v>
      </c>
      <c r="AQ24" s="4">
        <v>0.49</v>
      </c>
      <c r="AR24" s="4">
        <v>99</v>
      </c>
      <c r="AS24" s="4">
        <v>145</v>
      </c>
      <c r="AT24" s="4">
        <v>95</v>
      </c>
      <c r="AU24" s="4">
        <v>0.42799999999999999</v>
      </c>
      <c r="AV24" s="4">
        <v>100</v>
      </c>
      <c r="AW24" s="4">
        <v>9.8620000000000001</v>
      </c>
      <c r="AX24" s="4">
        <v>100</v>
      </c>
      <c r="AY24" s="4">
        <v>0.38900000000000001</v>
      </c>
      <c r="AZ24" s="4">
        <v>96</v>
      </c>
      <c r="BA24" s="4">
        <v>111</v>
      </c>
      <c r="BB24" s="4">
        <v>98</v>
      </c>
      <c r="BC24" s="4">
        <v>0.38400000000000001</v>
      </c>
      <c r="BD24" s="4">
        <v>100</v>
      </c>
      <c r="BE24" s="4">
        <v>4.7809999999999997</v>
      </c>
    </row>
    <row r="25" spans="1:57">
      <c r="A25" s="4">
        <v>2</v>
      </c>
      <c r="B25" s="4">
        <v>1</v>
      </c>
      <c r="C25" s="4"/>
      <c r="D25" s="4">
        <v>176</v>
      </c>
      <c r="E25" s="4">
        <v>65.5</v>
      </c>
      <c r="F25" s="4">
        <f t="shared" si="0"/>
        <v>21.145402892561982</v>
      </c>
      <c r="G25" s="4">
        <v>66.900000000000006</v>
      </c>
      <c r="H25" s="4">
        <v>21.2</v>
      </c>
      <c r="I25" s="4">
        <v>28.8</v>
      </c>
      <c r="J25" s="4">
        <v>5</v>
      </c>
      <c r="K25" s="4">
        <v>18.5</v>
      </c>
      <c r="L25" s="4">
        <v>30.6</v>
      </c>
      <c r="M25" s="4">
        <v>4</v>
      </c>
      <c r="N25" s="5">
        <v>76.19</v>
      </c>
      <c r="O25" s="4" t="s">
        <v>342</v>
      </c>
      <c r="P25" s="5">
        <v>54.170000000000009</v>
      </c>
      <c r="Q25" s="4" t="s">
        <v>343</v>
      </c>
      <c r="R25" s="5">
        <v>23.08</v>
      </c>
      <c r="S25" s="4" t="s">
        <v>344</v>
      </c>
      <c r="T25" s="5">
        <v>100</v>
      </c>
      <c r="U25" s="4" t="s">
        <v>345</v>
      </c>
      <c r="V25" s="5">
        <v>76.19</v>
      </c>
      <c r="W25" s="4" t="s">
        <v>346</v>
      </c>
      <c r="X25" s="5">
        <v>78.569999999999993</v>
      </c>
      <c r="Y25" s="4" t="s">
        <v>347</v>
      </c>
      <c r="Z25" s="4" t="s">
        <v>82</v>
      </c>
      <c r="AA25" s="4" t="s">
        <v>348</v>
      </c>
      <c r="AB25" s="4" t="s">
        <v>63</v>
      </c>
      <c r="AC25" s="4" t="s">
        <v>349</v>
      </c>
      <c r="AD25" s="4" t="s">
        <v>109</v>
      </c>
      <c r="AE25" s="4" t="s">
        <v>350</v>
      </c>
      <c r="AF25" s="4" t="s">
        <v>133</v>
      </c>
      <c r="AG25" s="4" t="s">
        <v>351</v>
      </c>
      <c r="AH25" s="4" t="s">
        <v>63</v>
      </c>
      <c r="AI25" s="4" t="s">
        <v>352</v>
      </c>
      <c r="AJ25" s="4" t="s">
        <v>84</v>
      </c>
      <c r="AK25" s="4" t="s">
        <v>353</v>
      </c>
      <c r="AL25" s="4">
        <v>18.600000000000001</v>
      </c>
      <c r="AM25" s="4">
        <v>18.149999999999999</v>
      </c>
      <c r="AN25" s="4">
        <v>285</v>
      </c>
      <c r="AO25" s="4">
        <v>282</v>
      </c>
      <c r="AP25" s="4">
        <v>97</v>
      </c>
      <c r="AQ25" s="4">
        <v>0.45200000000000001</v>
      </c>
      <c r="AR25" s="4">
        <v>98</v>
      </c>
      <c r="AS25" s="4">
        <v>81</v>
      </c>
      <c r="AT25" s="4">
        <v>91</v>
      </c>
      <c r="AU25" s="4">
        <v>0.34599999999999997</v>
      </c>
      <c r="AV25" s="4">
        <v>100</v>
      </c>
      <c r="AW25" s="4">
        <v>6.7919999999999998</v>
      </c>
      <c r="AX25" s="4">
        <v>97</v>
      </c>
      <c r="AY25" s="4">
        <v>0.44700000000000001</v>
      </c>
      <c r="AZ25" s="4">
        <v>99</v>
      </c>
      <c r="BA25" s="4">
        <v>68</v>
      </c>
      <c r="BB25" s="4">
        <v>95</v>
      </c>
      <c r="BC25" s="4">
        <v>0.32200000000000001</v>
      </c>
      <c r="BD25" s="4">
        <v>100</v>
      </c>
      <c r="BE25" s="4">
        <v>4.1890000000000001</v>
      </c>
    </row>
    <row r="26" spans="1:57">
      <c r="A26" s="4">
        <v>2</v>
      </c>
      <c r="B26" s="4">
        <v>1</v>
      </c>
      <c r="C26" s="4"/>
      <c r="D26" s="4">
        <v>167</v>
      </c>
      <c r="E26" s="4">
        <v>66.900000000000006</v>
      </c>
      <c r="F26" s="4">
        <f t="shared" si="0"/>
        <v>23.987952239234108</v>
      </c>
      <c r="G26" s="4">
        <v>65.900000000000006</v>
      </c>
      <c r="H26" s="4">
        <v>27.7</v>
      </c>
      <c r="I26" s="4">
        <v>27</v>
      </c>
      <c r="J26" s="4">
        <v>7</v>
      </c>
      <c r="K26" s="4">
        <v>24.4</v>
      </c>
      <c r="L26" s="4">
        <v>27.9</v>
      </c>
      <c r="M26" s="4">
        <v>6</v>
      </c>
      <c r="N26" s="5">
        <v>92.31</v>
      </c>
      <c r="O26" s="4" t="s">
        <v>354</v>
      </c>
      <c r="P26" s="5">
        <v>38.1</v>
      </c>
      <c r="Q26" s="4" t="s">
        <v>355</v>
      </c>
      <c r="R26" s="5">
        <v>47.37</v>
      </c>
      <c r="S26" s="4" t="s">
        <v>356</v>
      </c>
      <c r="T26" s="5">
        <v>100</v>
      </c>
      <c r="U26" s="4" t="s">
        <v>357</v>
      </c>
      <c r="V26" s="5">
        <v>54.55</v>
      </c>
      <c r="W26" s="4" t="s">
        <v>358</v>
      </c>
      <c r="X26" s="5">
        <v>35.29</v>
      </c>
      <c r="Y26" s="4" t="s">
        <v>359</v>
      </c>
      <c r="Z26" s="4" t="s">
        <v>82</v>
      </c>
      <c r="AA26" s="4" t="s">
        <v>360</v>
      </c>
      <c r="AB26" s="4" t="s">
        <v>133</v>
      </c>
      <c r="AC26" s="4" t="s">
        <v>361</v>
      </c>
      <c r="AD26" s="4" t="s">
        <v>289</v>
      </c>
      <c r="AE26" s="4" t="s">
        <v>362</v>
      </c>
      <c r="AF26" s="4" t="s">
        <v>63</v>
      </c>
      <c r="AG26" s="4" t="s">
        <v>363</v>
      </c>
      <c r="AH26" s="4" t="s">
        <v>76</v>
      </c>
      <c r="AI26" s="4" t="s">
        <v>364</v>
      </c>
      <c r="AJ26" s="4" t="s">
        <v>122</v>
      </c>
      <c r="AK26" s="4" t="s">
        <v>365</v>
      </c>
      <c r="AL26" s="4">
        <v>19.899999999999999</v>
      </c>
      <c r="AM26" s="4">
        <v>19.510000000000002</v>
      </c>
      <c r="AN26" s="4">
        <v>265</v>
      </c>
      <c r="AO26" s="4">
        <v>264</v>
      </c>
      <c r="AP26" s="4">
        <v>100</v>
      </c>
      <c r="AQ26" s="4">
        <v>0.443</v>
      </c>
      <c r="AR26" s="4">
        <v>96</v>
      </c>
      <c r="AS26" s="4">
        <v>53</v>
      </c>
      <c r="AT26" s="4">
        <v>97</v>
      </c>
      <c r="AU26" s="4">
        <v>0.375</v>
      </c>
      <c r="AV26" s="4">
        <v>75</v>
      </c>
      <c r="AW26" s="4">
        <v>4.4710000000000001</v>
      </c>
      <c r="AX26" s="4">
        <v>97</v>
      </c>
      <c r="AY26" s="4">
        <v>0.42299999999999999</v>
      </c>
      <c r="AZ26" s="4">
        <v>100</v>
      </c>
      <c r="BA26" s="4">
        <v>53</v>
      </c>
      <c r="BB26" s="4">
        <v>98</v>
      </c>
      <c r="BC26" s="4">
        <v>0.38900000000000001</v>
      </c>
      <c r="BD26" s="4">
        <v>100</v>
      </c>
      <c r="BE26" s="4">
        <v>3.149</v>
      </c>
    </row>
    <row r="27" spans="1:57">
      <c r="A27" s="4">
        <v>2</v>
      </c>
      <c r="B27" s="4">
        <v>2</v>
      </c>
      <c r="C27" s="4"/>
      <c r="D27" s="4">
        <v>166</v>
      </c>
      <c r="E27" s="4">
        <v>62.2</v>
      </c>
      <c r="F27" s="4">
        <f t="shared" si="0"/>
        <v>22.572216577151984</v>
      </c>
      <c r="G27" s="4">
        <v>61.9</v>
      </c>
      <c r="H27" s="4">
        <v>30.7</v>
      </c>
      <c r="I27" s="4">
        <v>23.5</v>
      </c>
      <c r="J27" s="4">
        <v>8</v>
      </c>
      <c r="K27" s="4">
        <v>30.8</v>
      </c>
      <c r="L27" s="4">
        <v>23.3</v>
      </c>
      <c r="M27" s="4">
        <v>8</v>
      </c>
      <c r="N27" s="5">
        <v>63.16</v>
      </c>
      <c r="O27" s="4" t="s">
        <v>366</v>
      </c>
      <c r="P27" s="5">
        <v>44</v>
      </c>
      <c r="Q27" s="4" t="s">
        <v>367</v>
      </c>
      <c r="R27" s="5">
        <v>36.840000000000003</v>
      </c>
      <c r="S27" s="4" t="s">
        <v>368</v>
      </c>
      <c r="T27" s="5">
        <v>100</v>
      </c>
      <c r="U27" s="4" t="s">
        <v>369</v>
      </c>
      <c r="V27" s="5">
        <v>63.16</v>
      </c>
      <c r="W27" s="4" t="s">
        <v>370</v>
      </c>
      <c r="X27" s="5">
        <v>73.680000000000007</v>
      </c>
      <c r="Y27" s="4" t="s">
        <v>371</v>
      </c>
      <c r="Z27" s="4" t="s">
        <v>63</v>
      </c>
      <c r="AA27" s="4" t="s">
        <v>372</v>
      </c>
      <c r="AB27" s="4" t="s">
        <v>63</v>
      </c>
      <c r="AC27" s="4" t="s">
        <v>373</v>
      </c>
      <c r="AD27" s="4" t="s">
        <v>122</v>
      </c>
      <c r="AE27" s="4" t="s">
        <v>374</v>
      </c>
      <c r="AF27" s="4" t="s">
        <v>63</v>
      </c>
      <c r="AG27" s="4" t="s">
        <v>375</v>
      </c>
      <c r="AH27" s="4" t="s">
        <v>82</v>
      </c>
      <c r="AI27" s="4" t="s">
        <v>376</v>
      </c>
      <c r="AJ27" s="4" t="s">
        <v>99</v>
      </c>
      <c r="AK27" s="4" t="s">
        <v>377</v>
      </c>
      <c r="AL27" s="4">
        <v>22.1</v>
      </c>
      <c r="AM27" s="4">
        <v>22.1</v>
      </c>
      <c r="AN27" s="4">
        <v>311</v>
      </c>
      <c r="AO27" s="4">
        <v>293</v>
      </c>
      <c r="AP27" s="4">
        <v>100</v>
      </c>
      <c r="AQ27" s="4">
        <v>0.40600000000000003</v>
      </c>
      <c r="AR27" s="4">
        <v>84</v>
      </c>
      <c r="AS27" s="4">
        <v>79</v>
      </c>
      <c r="AT27" s="4">
        <v>97</v>
      </c>
      <c r="AU27" s="4">
        <v>0.35399999999999998</v>
      </c>
      <c r="AV27" s="4">
        <v>100</v>
      </c>
      <c r="AW27" s="4">
        <v>2.3639999999999999</v>
      </c>
      <c r="AX27" s="4">
        <v>100</v>
      </c>
      <c r="AY27" s="4">
        <v>0.41799999999999998</v>
      </c>
      <c r="AZ27" s="4">
        <v>97</v>
      </c>
      <c r="BA27" s="4">
        <v>101</v>
      </c>
      <c r="BB27" s="4">
        <v>100</v>
      </c>
      <c r="BC27" s="4">
        <v>0.35899999999999999</v>
      </c>
      <c r="BD27" s="4">
        <v>100</v>
      </c>
      <c r="BE27" s="4">
        <v>2.6669999999999998</v>
      </c>
    </row>
    <row r="28" spans="1:57">
      <c r="A28" s="4">
        <v>2</v>
      </c>
      <c r="B28" s="4">
        <v>1</v>
      </c>
      <c r="C28" s="4"/>
      <c r="D28" s="4">
        <v>175</v>
      </c>
      <c r="E28" s="4">
        <v>69.8</v>
      </c>
      <c r="F28" s="4">
        <f t="shared" si="0"/>
        <v>22.791836734693877</v>
      </c>
      <c r="G28" s="4">
        <v>71.2</v>
      </c>
      <c r="H28" s="4">
        <v>21.5</v>
      </c>
      <c r="I28" s="4">
        <v>29.4</v>
      </c>
      <c r="J28" s="4">
        <v>7</v>
      </c>
      <c r="K28" s="4">
        <v>23.7</v>
      </c>
      <c r="L28" s="4">
        <v>30.4</v>
      </c>
      <c r="M28" s="4">
        <v>6</v>
      </c>
      <c r="N28" s="5">
        <v>56.52</v>
      </c>
      <c r="O28" s="4" t="s">
        <v>378</v>
      </c>
      <c r="P28" s="5">
        <v>42.11</v>
      </c>
      <c r="Q28" s="4" t="s">
        <v>379</v>
      </c>
      <c r="R28" s="5">
        <v>38.89</v>
      </c>
      <c r="S28" s="4" t="s">
        <v>380</v>
      </c>
      <c r="T28" s="5">
        <v>88.24</v>
      </c>
      <c r="U28" s="4" t="s">
        <v>381</v>
      </c>
      <c r="V28" s="5">
        <v>77.27</v>
      </c>
      <c r="W28" s="4" t="s">
        <v>382</v>
      </c>
      <c r="X28" s="5">
        <v>64.290000000000006</v>
      </c>
      <c r="Y28" s="4" t="s">
        <v>383</v>
      </c>
      <c r="Z28" s="4" t="s">
        <v>63</v>
      </c>
      <c r="AA28" s="4" t="s">
        <v>384</v>
      </c>
      <c r="AB28" s="4" t="s">
        <v>93</v>
      </c>
      <c r="AC28" s="4" t="s">
        <v>385</v>
      </c>
      <c r="AD28" s="4" t="s">
        <v>84</v>
      </c>
      <c r="AE28" s="4" t="s">
        <v>386</v>
      </c>
      <c r="AF28" s="4" t="s">
        <v>63</v>
      </c>
      <c r="AG28" s="4" t="s">
        <v>387</v>
      </c>
      <c r="AH28" s="4" t="s">
        <v>82</v>
      </c>
      <c r="AI28" s="4" t="s">
        <v>388</v>
      </c>
      <c r="AJ28" s="4" t="s">
        <v>122</v>
      </c>
      <c r="AK28" s="4" t="s">
        <v>389</v>
      </c>
      <c r="AL28" s="4">
        <v>18.8</v>
      </c>
      <c r="AM28" s="4">
        <v>18.850000000000001</v>
      </c>
      <c r="AN28" s="4">
        <v>266</v>
      </c>
      <c r="AO28" s="4">
        <v>244</v>
      </c>
      <c r="AP28" s="4">
        <v>97</v>
      </c>
      <c r="AQ28" s="4">
        <v>0.45300000000000001</v>
      </c>
      <c r="AR28" s="4">
        <v>93</v>
      </c>
      <c r="AS28" s="4">
        <v>60</v>
      </c>
      <c r="AT28" s="4">
        <v>97</v>
      </c>
      <c r="AU28" s="4">
        <v>0.42399999999999999</v>
      </c>
      <c r="AV28" s="4">
        <v>100</v>
      </c>
      <c r="AW28" s="4">
        <v>2.0169999999999999</v>
      </c>
      <c r="AX28" s="4">
        <v>97</v>
      </c>
      <c r="AY28" s="4">
        <v>0.40200000000000002</v>
      </c>
      <c r="AZ28" s="4">
        <v>100</v>
      </c>
      <c r="BA28" s="4">
        <v>66</v>
      </c>
      <c r="BB28" s="4">
        <v>94</v>
      </c>
      <c r="BC28" s="4">
        <v>0.33300000000000002</v>
      </c>
      <c r="BD28" s="4">
        <v>100</v>
      </c>
      <c r="BE28" s="4">
        <v>3.2730000000000001</v>
      </c>
    </row>
    <row r="29" spans="1:57">
      <c r="A29" s="4">
        <v>2</v>
      </c>
      <c r="B29" s="4">
        <v>2</v>
      </c>
      <c r="C29" s="4"/>
      <c r="D29" s="4">
        <v>163</v>
      </c>
      <c r="E29" s="4">
        <v>61.9</v>
      </c>
      <c r="F29" s="4">
        <f t="shared" si="0"/>
        <v>23.297828296134593</v>
      </c>
      <c r="G29" s="4">
        <v>58.9</v>
      </c>
      <c r="H29" s="4">
        <v>36.1</v>
      </c>
      <c r="I29" s="4">
        <v>21.4</v>
      </c>
      <c r="J29" s="4">
        <v>10</v>
      </c>
      <c r="K29" s="4">
        <v>33.1</v>
      </c>
      <c r="L29" s="4">
        <v>21.3</v>
      </c>
      <c r="M29" s="4">
        <v>8</v>
      </c>
      <c r="N29" s="5">
        <v>100</v>
      </c>
      <c r="O29" s="4" t="s">
        <v>390</v>
      </c>
      <c r="P29" s="5">
        <v>66.67</v>
      </c>
      <c r="Q29" s="4" t="s">
        <v>391</v>
      </c>
      <c r="R29" s="5">
        <v>75</v>
      </c>
      <c r="S29" s="4" t="s">
        <v>392</v>
      </c>
      <c r="T29" s="5">
        <v>100</v>
      </c>
      <c r="U29" s="4" t="s">
        <v>393</v>
      </c>
      <c r="V29" s="5">
        <v>76.47</v>
      </c>
      <c r="W29" s="4" t="s">
        <v>394</v>
      </c>
      <c r="X29" s="5">
        <v>77.27</v>
      </c>
      <c r="Y29" s="4" t="s">
        <v>395</v>
      </c>
      <c r="Z29" s="4" t="s">
        <v>63</v>
      </c>
      <c r="AA29" s="4" t="s">
        <v>396</v>
      </c>
      <c r="AB29" s="4" t="s">
        <v>63</v>
      </c>
      <c r="AC29" s="4" t="s">
        <v>397</v>
      </c>
      <c r="AD29" s="4" t="s">
        <v>68</v>
      </c>
      <c r="AE29" s="4" t="s">
        <v>398</v>
      </c>
      <c r="AF29" s="4" t="s">
        <v>82</v>
      </c>
      <c r="AG29" s="4" t="s">
        <v>399</v>
      </c>
      <c r="AH29" s="4" t="s">
        <v>82</v>
      </c>
      <c r="AI29" s="4" t="s">
        <v>400</v>
      </c>
      <c r="AJ29" s="4" t="s">
        <v>276</v>
      </c>
      <c r="AK29" s="4" t="s">
        <v>401</v>
      </c>
      <c r="AL29" s="4">
        <v>26.1</v>
      </c>
      <c r="AM29" s="4">
        <v>22.78</v>
      </c>
      <c r="AN29" s="4">
        <v>280</v>
      </c>
      <c r="AO29" s="4">
        <v>270</v>
      </c>
      <c r="AP29" s="4">
        <v>100</v>
      </c>
      <c r="AQ29" s="4">
        <v>0.43</v>
      </c>
      <c r="AR29" s="4">
        <v>100</v>
      </c>
      <c r="AS29" s="4">
        <v>59</v>
      </c>
      <c r="AT29" s="4">
        <v>94</v>
      </c>
      <c r="AU29" s="4">
        <v>0.36399999999999999</v>
      </c>
      <c r="AV29" s="4">
        <v>100</v>
      </c>
      <c r="AW29" s="4">
        <v>2.6150000000000002</v>
      </c>
      <c r="AX29" s="4">
        <v>100</v>
      </c>
      <c r="AY29" s="4">
        <v>0.247</v>
      </c>
      <c r="AZ29" s="4">
        <v>97</v>
      </c>
      <c r="BA29" s="4">
        <v>45</v>
      </c>
      <c r="BB29" s="4">
        <v>100</v>
      </c>
      <c r="BC29" s="6">
        <v>0.36</v>
      </c>
      <c r="BD29" s="4">
        <v>100</v>
      </c>
      <c r="BE29" s="4">
        <v>4.8209999999999997</v>
      </c>
    </row>
    <row r="30" spans="1:57">
      <c r="A30" s="4">
        <v>2</v>
      </c>
      <c r="B30" s="4">
        <v>1</v>
      </c>
      <c r="C30" s="4"/>
      <c r="D30" s="4">
        <v>174</v>
      </c>
      <c r="E30" s="4">
        <v>70.5</v>
      </c>
      <c r="F30" s="4">
        <f t="shared" si="0"/>
        <v>23.285770907649624</v>
      </c>
      <c r="G30" s="4">
        <v>66.400000000000006</v>
      </c>
      <c r="H30" s="4">
        <v>18.399999999999999</v>
      </c>
      <c r="I30" s="4">
        <v>32.299999999999997</v>
      </c>
      <c r="J30" s="4">
        <v>5</v>
      </c>
      <c r="K30" s="4">
        <v>15.8</v>
      </c>
      <c r="L30" s="4">
        <v>31.6</v>
      </c>
      <c r="M30" s="4">
        <v>3</v>
      </c>
      <c r="N30" s="5">
        <v>95.45</v>
      </c>
      <c r="O30" s="4" t="s">
        <v>402</v>
      </c>
      <c r="P30" s="5">
        <v>44.44</v>
      </c>
      <c r="Q30" s="4" t="s">
        <v>403</v>
      </c>
      <c r="R30" s="5">
        <v>44.44</v>
      </c>
      <c r="S30" s="4" t="s">
        <v>404</v>
      </c>
      <c r="T30" s="5">
        <v>100</v>
      </c>
      <c r="U30" s="4" t="s">
        <v>405</v>
      </c>
      <c r="V30" s="5">
        <v>37.5</v>
      </c>
      <c r="W30" s="4" t="s">
        <v>406</v>
      </c>
      <c r="X30" s="5">
        <v>52.63</v>
      </c>
      <c r="Y30" s="4" t="s">
        <v>407</v>
      </c>
      <c r="Z30" s="4" t="s">
        <v>76</v>
      </c>
      <c r="AA30" s="4" t="s">
        <v>408</v>
      </c>
      <c r="AB30" s="4" t="s">
        <v>63</v>
      </c>
      <c r="AC30" s="4" t="s">
        <v>409</v>
      </c>
      <c r="AD30" s="4" t="s">
        <v>66</v>
      </c>
      <c r="AE30" s="4" t="s">
        <v>410</v>
      </c>
      <c r="AF30" s="4" t="s">
        <v>63</v>
      </c>
      <c r="AG30" s="4" t="s">
        <v>411</v>
      </c>
      <c r="AH30" s="4" t="s">
        <v>63</v>
      </c>
      <c r="AI30" s="4" t="s">
        <v>412</v>
      </c>
      <c r="AJ30" s="4" t="s">
        <v>95</v>
      </c>
      <c r="AK30" s="4" t="s">
        <v>413</v>
      </c>
      <c r="AL30" s="4">
        <v>18.8</v>
      </c>
      <c r="AM30" s="4">
        <v>18.8</v>
      </c>
      <c r="AN30" s="4">
        <v>290</v>
      </c>
      <c r="AO30" s="4">
        <v>261</v>
      </c>
      <c r="AP30" s="4">
        <v>100</v>
      </c>
      <c r="AQ30" s="4">
        <v>0.44800000000000001</v>
      </c>
      <c r="AR30" s="4">
        <v>94</v>
      </c>
      <c r="AS30" s="4">
        <v>65</v>
      </c>
      <c r="AT30" s="4">
        <v>94</v>
      </c>
      <c r="AU30" s="4">
        <v>0.379</v>
      </c>
      <c r="AV30" s="4">
        <v>100</v>
      </c>
      <c r="AW30" s="4">
        <v>2.4670000000000001</v>
      </c>
      <c r="AX30" s="4">
        <v>94</v>
      </c>
      <c r="AY30" s="4">
        <v>0.443</v>
      </c>
      <c r="AZ30" s="4">
        <v>98</v>
      </c>
      <c r="BA30" s="4">
        <v>61</v>
      </c>
      <c r="BB30" s="4">
        <v>94</v>
      </c>
      <c r="BC30" s="4">
        <v>0.33800000000000002</v>
      </c>
      <c r="BD30" s="4">
        <v>100</v>
      </c>
      <c r="BE30" s="6">
        <v>4.92</v>
      </c>
    </row>
    <row r="31" spans="1:57">
      <c r="A31" s="4">
        <v>2</v>
      </c>
      <c r="B31" s="4">
        <v>2</v>
      </c>
      <c r="C31" s="4"/>
      <c r="D31" s="4">
        <v>163</v>
      </c>
      <c r="E31" s="4">
        <v>58.4</v>
      </c>
      <c r="F31" s="4">
        <f t="shared" si="0"/>
        <v>21.980503594414543</v>
      </c>
      <c r="G31" s="4">
        <v>56.1</v>
      </c>
      <c r="H31" s="4">
        <v>30.3</v>
      </c>
      <c r="I31" s="4">
        <v>22</v>
      </c>
      <c r="J31" s="4">
        <v>7</v>
      </c>
      <c r="K31" s="4">
        <v>28.9</v>
      </c>
      <c r="L31" s="4">
        <v>21</v>
      </c>
      <c r="M31" s="4">
        <v>5</v>
      </c>
      <c r="N31" s="5">
        <v>95</v>
      </c>
      <c r="O31" s="4" t="s">
        <v>414</v>
      </c>
      <c r="P31" s="5">
        <v>64.290000000000006</v>
      </c>
      <c r="Q31" s="4" t="s">
        <v>415</v>
      </c>
      <c r="R31" s="5">
        <v>50</v>
      </c>
      <c r="S31" s="4" t="s">
        <v>416</v>
      </c>
      <c r="T31" s="5">
        <v>78.95</v>
      </c>
      <c r="U31" s="4" t="s">
        <v>417</v>
      </c>
      <c r="V31" s="5">
        <v>84.21</v>
      </c>
      <c r="W31" s="4" t="s">
        <v>418</v>
      </c>
      <c r="X31" s="5">
        <v>85</v>
      </c>
      <c r="Y31" s="4" t="s">
        <v>419</v>
      </c>
      <c r="Z31" s="4" t="s">
        <v>76</v>
      </c>
      <c r="AA31" s="4" t="s">
        <v>420</v>
      </c>
      <c r="AB31" s="4" t="s">
        <v>76</v>
      </c>
      <c r="AC31" s="4" t="s">
        <v>421</v>
      </c>
      <c r="AD31" s="4" t="s">
        <v>68</v>
      </c>
      <c r="AE31" s="4" t="s">
        <v>422</v>
      </c>
      <c r="AF31" s="4" t="s">
        <v>63</v>
      </c>
      <c r="AG31" s="4" t="s">
        <v>423</v>
      </c>
      <c r="AH31" s="4" t="s">
        <v>76</v>
      </c>
      <c r="AI31" s="4" t="s">
        <v>424</v>
      </c>
      <c r="AJ31" s="4" t="s">
        <v>66</v>
      </c>
      <c r="AK31" s="4" t="s">
        <v>425</v>
      </c>
      <c r="AL31" s="4">
        <v>21.8</v>
      </c>
      <c r="AM31" s="4">
        <v>20.99</v>
      </c>
      <c r="AN31" s="4">
        <v>336</v>
      </c>
      <c r="AO31" s="4">
        <v>326</v>
      </c>
      <c r="AP31" s="4">
        <v>97</v>
      </c>
      <c r="AQ31" s="4">
        <v>0.38800000000000001</v>
      </c>
      <c r="AR31" s="4">
        <v>92</v>
      </c>
      <c r="AS31" s="4">
        <v>58</v>
      </c>
      <c r="AT31" s="4">
        <v>98</v>
      </c>
      <c r="AU31" s="4">
        <v>0.45</v>
      </c>
      <c r="AV31" s="4">
        <v>100</v>
      </c>
      <c r="AW31" s="4">
        <v>4.9909999999999997</v>
      </c>
      <c r="AX31" s="4">
        <v>100</v>
      </c>
      <c r="AY31" s="4">
        <v>0.40100000000000002</v>
      </c>
      <c r="AZ31" s="4">
        <v>97</v>
      </c>
      <c r="BA31" s="4">
        <v>61</v>
      </c>
      <c r="BB31" s="4">
        <v>98</v>
      </c>
      <c r="BC31" s="4">
        <v>0.41799999999999998</v>
      </c>
      <c r="BD31" s="4">
        <v>100</v>
      </c>
      <c r="BE31" s="4">
        <v>4.2089999999999996</v>
      </c>
    </row>
    <row r="32" spans="1:57">
      <c r="A32" s="4">
        <v>2</v>
      </c>
      <c r="B32" s="4">
        <v>1</v>
      </c>
      <c r="C32" s="4"/>
      <c r="D32" s="4">
        <v>181</v>
      </c>
      <c r="E32" s="4">
        <v>59.4</v>
      </c>
      <c r="F32" s="4">
        <f t="shared" si="0"/>
        <v>18.13131467293428</v>
      </c>
      <c r="G32" s="4">
        <v>58.1</v>
      </c>
      <c r="H32" s="4">
        <v>17.3</v>
      </c>
      <c r="I32" s="4">
        <v>27.1</v>
      </c>
      <c r="J32" s="4">
        <v>4</v>
      </c>
      <c r="K32" s="4">
        <v>13.7</v>
      </c>
      <c r="L32" s="4">
        <v>27.8</v>
      </c>
      <c r="M32" s="4">
        <v>3</v>
      </c>
      <c r="N32" s="5">
        <v>91.3</v>
      </c>
      <c r="O32" s="4" t="s">
        <v>426</v>
      </c>
      <c r="P32" s="5">
        <v>55.56</v>
      </c>
      <c r="Q32" s="4" t="s">
        <v>427</v>
      </c>
      <c r="R32" s="5">
        <v>42.11</v>
      </c>
      <c r="S32" s="4" t="s">
        <v>428</v>
      </c>
      <c r="T32" s="5">
        <v>54.170000000000009</v>
      </c>
      <c r="U32" s="4" t="s">
        <v>429</v>
      </c>
      <c r="V32" s="5">
        <v>35.29</v>
      </c>
      <c r="W32" s="4" t="s">
        <v>430</v>
      </c>
      <c r="X32" s="5">
        <v>54.55</v>
      </c>
      <c r="Y32" s="4" t="s">
        <v>431</v>
      </c>
      <c r="Z32" s="4" t="s">
        <v>63</v>
      </c>
      <c r="AA32" s="4" t="s">
        <v>432</v>
      </c>
      <c r="AB32" s="4" t="s">
        <v>82</v>
      </c>
      <c r="AC32" s="4" t="s">
        <v>433</v>
      </c>
      <c r="AD32" s="4" t="s">
        <v>276</v>
      </c>
      <c r="AE32" s="4" t="s">
        <v>434</v>
      </c>
      <c r="AF32" s="4" t="s">
        <v>63</v>
      </c>
      <c r="AG32" s="4" t="s">
        <v>435</v>
      </c>
      <c r="AH32" s="4" t="s">
        <v>63</v>
      </c>
      <c r="AI32" s="4" t="s">
        <v>436</v>
      </c>
      <c r="AJ32" s="4" t="s">
        <v>66</v>
      </c>
      <c r="AK32" s="4" t="s">
        <v>437</v>
      </c>
      <c r="AL32" s="4">
        <v>20.100000000000001</v>
      </c>
      <c r="AM32" s="4">
        <v>18.29</v>
      </c>
      <c r="AN32" s="4">
        <v>386</v>
      </c>
      <c r="AO32" s="4">
        <v>251</v>
      </c>
      <c r="AP32" s="4">
        <v>97</v>
      </c>
      <c r="AQ32" s="4">
        <v>0.40799999999999997</v>
      </c>
      <c r="AR32" s="4">
        <v>99</v>
      </c>
      <c r="AS32" s="4">
        <v>95</v>
      </c>
      <c r="AT32" s="4">
        <v>100</v>
      </c>
      <c r="AU32" s="4">
        <v>0.40400000000000003</v>
      </c>
      <c r="AV32" s="4">
        <v>75</v>
      </c>
      <c r="AW32" s="4">
        <v>6.8380000000000001</v>
      </c>
      <c r="AX32" s="4">
        <v>94</v>
      </c>
      <c r="AY32" s="4">
        <v>0.39300000000000002</v>
      </c>
      <c r="AZ32" s="4">
        <v>100</v>
      </c>
      <c r="BA32" s="4">
        <v>86</v>
      </c>
      <c r="BB32" s="4">
        <v>98</v>
      </c>
      <c r="BC32" s="6">
        <v>0.34</v>
      </c>
      <c r="BD32" s="4">
        <v>100</v>
      </c>
      <c r="BE32" s="4">
        <v>2.7290000000000001</v>
      </c>
    </row>
    <row r="33" spans="1:57">
      <c r="A33" s="4">
        <v>2</v>
      </c>
      <c r="B33" s="4">
        <v>1</v>
      </c>
      <c r="C33" s="4"/>
      <c r="D33" s="4">
        <v>186</v>
      </c>
      <c r="E33" s="4">
        <v>84.7</v>
      </c>
      <c r="F33" s="4">
        <f t="shared" si="0"/>
        <v>24.482599144409757</v>
      </c>
      <c r="G33" s="4">
        <v>81</v>
      </c>
      <c r="H33" s="4">
        <v>17.399999999999999</v>
      </c>
      <c r="I33" s="4">
        <v>39.700000000000003</v>
      </c>
      <c r="J33" s="4">
        <v>6</v>
      </c>
      <c r="K33" s="4">
        <v>15.6</v>
      </c>
      <c r="L33" s="4">
        <v>38.9</v>
      </c>
      <c r="M33" s="4">
        <v>5</v>
      </c>
      <c r="N33" s="5">
        <v>95.24</v>
      </c>
      <c r="O33" s="4" t="s">
        <v>438</v>
      </c>
      <c r="P33" s="5">
        <v>63.16</v>
      </c>
      <c r="Q33" s="4" t="s">
        <v>439</v>
      </c>
      <c r="R33" s="5">
        <v>58.820000000000007</v>
      </c>
      <c r="S33" s="4" t="s">
        <v>440</v>
      </c>
      <c r="T33" s="5">
        <v>100</v>
      </c>
      <c r="U33" s="4" t="s">
        <v>441</v>
      </c>
      <c r="V33" s="5">
        <v>70.59</v>
      </c>
      <c r="W33" s="4" t="s">
        <v>442</v>
      </c>
      <c r="X33" s="5">
        <v>66.67</v>
      </c>
      <c r="Y33" s="4" t="s">
        <v>443</v>
      </c>
      <c r="Z33" s="4" t="s">
        <v>63</v>
      </c>
      <c r="AA33" s="4" t="s">
        <v>444</v>
      </c>
      <c r="AB33" s="4" t="s">
        <v>76</v>
      </c>
      <c r="AC33" s="4" t="s">
        <v>445</v>
      </c>
      <c r="AD33" s="4" t="s">
        <v>66</v>
      </c>
      <c r="AE33" s="4" t="s">
        <v>425</v>
      </c>
      <c r="AF33" s="4" t="s">
        <v>63</v>
      </c>
      <c r="AG33" s="4" t="s">
        <v>274</v>
      </c>
      <c r="AH33" s="4" t="s">
        <v>63</v>
      </c>
      <c r="AI33" s="4" t="s">
        <v>446</v>
      </c>
      <c r="AJ33" s="4" t="s">
        <v>109</v>
      </c>
      <c r="AK33" s="4" t="s">
        <v>447</v>
      </c>
      <c r="AL33" s="4">
        <v>21.9</v>
      </c>
      <c r="AM33" s="4">
        <v>19.86</v>
      </c>
      <c r="AN33" s="7">
        <v>514</v>
      </c>
      <c r="AO33" s="4">
        <v>248</v>
      </c>
      <c r="AP33" s="4">
        <v>100</v>
      </c>
      <c r="AQ33" s="4">
        <v>0.47499999999999998</v>
      </c>
      <c r="AR33" s="4">
        <v>91</v>
      </c>
      <c r="AS33" s="4">
        <v>92</v>
      </c>
      <c r="AT33" s="4">
        <v>100</v>
      </c>
      <c r="AU33" s="4">
        <v>0.44900000000000001</v>
      </c>
      <c r="AV33" s="4">
        <v>100</v>
      </c>
      <c r="AW33" s="4">
        <v>6.0090000000000003</v>
      </c>
      <c r="AX33" s="4">
        <v>100</v>
      </c>
      <c r="AY33" s="4">
        <v>0.45300000000000001</v>
      </c>
      <c r="AZ33" s="4">
        <v>95</v>
      </c>
      <c r="BA33" s="4">
        <v>73</v>
      </c>
      <c r="BB33" s="4">
        <v>98</v>
      </c>
      <c r="BC33" s="4">
        <v>0.41799999999999998</v>
      </c>
      <c r="BD33" s="4">
        <v>100</v>
      </c>
      <c r="BE33" s="4">
        <v>5.1909999999999998</v>
      </c>
    </row>
    <row r="34" spans="1:57">
      <c r="A34" s="4">
        <v>2</v>
      </c>
      <c r="B34" s="4">
        <v>1</v>
      </c>
      <c r="C34" s="4"/>
      <c r="D34" s="4">
        <v>160</v>
      </c>
      <c r="E34" s="4">
        <v>58.5</v>
      </c>
      <c r="F34" s="4">
        <f t="shared" si="0"/>
        <v>22.851562499999996</v>
      </c>
      <c r="G34" s="4">
        <v>58.8</v>
      </c>
      <c r="H34" s="4">
        <v>22.6</v>
      </c>
      <c r="I34" s="4">
        <v>25.3</v>
      </c>
      <c r="J34" s="4">
        <v>5</v>
      </c>
      <c r="K34" s="4">
        <v>22</v>
      </c>
      <c r="L34" s="4">
        <v>25.7</v>
      </c>
      <c r="M34" s="4">
        <v>5</v>
      </c>
      <c r="N34" s="5">
        <v>89.47</v>
      </c>
      <c r="O34" s="4" t="s">
        <v>448</v>
      </c>
      <c r="P34" s="5">
        <v>42.11</v>
      </c>
      <c r="Q34" s="4" t="s">
        <v>449</v>
      </c>
      <c r="R34" s="5">
        <v>45</v>
      </c>
      <c r="S34" s="4" t="s">
        <v>450</v>
      </c>
      <c r="T34" s="5">
        <v>100</v>
      </c>
      <c r="U34" s="4" t="s">
        <v>154</v>
      </c>
      <c r="V34" s="5">
        <v>65.22</v>
      </c>
      <c r="W34" s="4" t="s">
        <v>451</v>
      </c>
      <c r="X34" s="5">
        <v>88.24</v>
      </c>
      <c r="Y34" s="4" t="s">
        <v>452</v>
      </c>
      <c r="Z34" s="4" t="s">
        <v>82</v>
      </c>
      <c r="AA34" s="4" t="s">
        <v>453</v>
      </c>
      <c r="AB34" s="4" t="s">
        <v>63</v>
      </c>
      <c r="AC34" s="4" t="s">
        <v>454</v>
      </c>
      <c r="AD34" s="4" t="s">
        <v>95</v>
      </c>
      <c r="AE34" s="4" t="s">
        <v>455</v>
      </c>
      <c r="AF34" s="4" t="s">
        <v>82</v>
      </c>
      <c r="AG34" s="4" t="s">
        <v>456</v>
      </c>
      <c r="AH34" s="4" t="s">
        <v>63</v>
      </c>
      <c r="AI34" s="4" t="s">
        <v>457</v>
      </c>
      <c r="AJ34" s="4" t="s">
        <v>68</v>
      </c>
      <c r="AK34" s="4" t="s">
        <v>458</v>
      </c>
      <c r="AL34" s="4">
        <v>20.399999999999999</v>
      </c>
      <c r="AM34" s="4">
        <v>18.829999999999998</v>
      </c>
      <c r="AN34" s="4">
        <v>285</v>
      </c>
      <c r="AO34" s="4">
        <v>350</v>
      </c>
      <c r="AP34" s="4">
        <v>97</v>
      </c>
      <c r="AQ34" s="4">
        <v>0.439</v>
      </c>
      <c r="AR34" s="4">
        <v>91</v>
      </c>
      <c r="AS34" s="4">
        <v>76</v>
      </c>
      <c r="AT34" s="4">
        <v>95</v>
      </c>
      <c r="AU34" s="4">
        <v>0.34300000000000003</v>
      </c>
      <c r="AV34" s="4">
        <v>100</v>
      </c>
      <c r="AW34" s="4">
        <v>4.26</v>
      </c>
      <c r="AX34" s="4">
        <v>100</v>
      </c>
      <c r="AY34" s="4">
        <v>0.44600000000000001</v>
      </c>
      <c r="AZ34" s="4">
        <v>99</v>
      </c>
      <c r="BA34" s="4">
        <v>56</v>
      </c>
      <c r="BB34" s="4">
        <v>97</v>
      </c>
      <c r="BC34" s="4">
        <v>0.33700000000000002</v>
      </c>
      <c r="BD34" s="4">
        <v>75</v>
      </c>
      <c r="BE34" s="4">
        <v>3.2170000000000001</v>
      </c>
    </row>
    <row r="35" spans="1:57">
      <c r="A35" s="4">
        <v>2</v>
      </c>
      <c r="B35" s="4">
        <v>2</v>
      </c>
      <c r="C35" s="4"/>
      <c r="D35" s="4">
        <v>164</v>
      </c>
      <c r="E35" s="4">
        <v>50.2</v>
      </c>
      <c r="F35" s="4">
        <f t="shared" si="0"/>
        <v>18.664485425342061</v>
      </c>
      <c r="G35" s="4">
        <v>50.1</v>
      </c>
      <c r="H35" s="4">
        <v>22.6</v>
      </c>
      <c r="I35" s="4">
        <v>20.9</v>
      </c>
      <c r="J35" s="4">
        <v>4</v>
      </c>
      <c r="K35" s="4">
        <v>22.4</v>
      </c>
      <c r="L35" s="4">
        <v>20.9</v>
      </c>
      <c r="M35" s="4">
        <v>4</v>
      </c>
      <c r="N35" s="5">
        <v>72.22</v>
      </c>
      <c r="O35" s="4" t="s">
        <v>459</v>
      </c>
      <c r="P35" s="5">
        <v>36.840000000000003</v>
      </c>
      <c r="Q35" s="4" t="s">
        <v>460</v>
      </c>
      <c r="R35" s="5">
        <v>36.840000000000003</v>
      </c>
      <c r="S35" s="4" t="s">
        <v>461</v>
      </c>
      <c r="T35" s="5">
        <v>100</v>
      </c>
      <c r="U35" s="4" t="s">
        <v>462</v>
      </c>
      <c r="V35" s="5">
        <v>53.33</v>
      </c>
      <c r="W35" s="4" t="s">
        <v>463</v>
      </c>
      <c r="X35" s="5">
        <v>40</v>
      </c>
      <c r="Y35" s="4" t="s">
        <v>464</v>
      </c>
      <c r="Z35" s="4" t="s">
        <v>63</v>
      </c>
      <c r="AA35" s="4" t="s">
        <v>465</v>
      </c>
      <c r="AB35" s="4" t="s">
        <v>63</v>
      </c>
      <c r="AC35" s="4" t="s">
        <v>466</v>
      </c>
      <c r="AD35" s="4" t="s">
        <v>84</v>
      </c>
      <c r="AE35" s="4" t="s">
        <v>467</v>
      </c>
      <c r="AF35" s="4" t="s">
        <v>63</v>
      </c>
      <c r="AG35" s="4" t="s">
        <v>468</v>
      </c>
      <c r="AH35" s="4" t="s">
        <v>63</v>
      </c>
      <c r="AI35" s="4" t="s">
        <v>469</v>
      </c>
      <c r="AJ35" s="4" t="s">
        <v>95</v>
      </c>
      <c r="AK35" s="4" t="s">
        <v>470</v>
      </c>
      <c r="AL35" s="4">
        <v>24.3</v>
      </c>
      <c r="AM35" s="4">
        <v>21.83</v>
      </c>
      <c r="AN35" s="4">
        <v>363</v>
      </c>
      <c r="AO35" s="4">
        <v>281</v>
      </c>
      <c r="AP35" s="4">
        <v>100</v>
      </c>
      <c r="AQ35" s="4">
        <v>0.44500000000000001</v>
      </c>
      <c r="AR35" s="4">
        <v>99</v>
      </c>
      <c r="AS35" s="4">
        <v>103</v>
      </c>
      <c r="AT35" s="4">
        <v>92</v>
      </c>
      <c r="AU35" s="4">
        <v>0.38700000000000001</v>
      </c>
      <c r="AV35" s="4">
        <v>100</v>
      </c>
      <c r="AW35" s="4">
        <v>4.0650000000000004</v>
      </c>
      <c r="AX35" s="4">
        <v>100</v>
      </c>
      <c r="AY35" s="4">
        <v>0.42499999999999999</v>
      </c>
      <c r="AZ35" s="4">
        <v>99</v>
      </c>
      <c r="BA35" s="4">
        <v>84</v>
      </c>
      <c r="BB35" s="4">
        <v>91</v>
      </c>
      <c r="BC35" s="4">
        <v>0.32200000000000001</v>
      </c>
      <c r="BD35" s="4">
        <v>100</v>
      </c>
      <c r="BE35" s="4">
        <v>3.2829999999999999</v>
      </c>
    </row>
    <row r="36" spans="1:57">
      <c r="A36" s="4">
        <v>2</v>
      </c>
      <c r="B36" s="4">
        <v>1</v>
      </c>
      <c r="C36" s="4"/>
      <c r="D36" s="4">
        <v>168</v>
      </c>
      <c r="E36" s="4">
        <v>59.1</v>
      </c>
      <c r="F36" s="4">
        <f t="shared" si="0"/>
        <v>20.939625850340139</v>
      </c>
      <c r="G36" s="4">
        <v>60</v>
      </c>
      <c r="H36" s="4">
        <v>15.8</v>
      </c>
      <c r="I36" s="4">
        <v>27.9</v>
      </c>
      <c r="J36" s="4">
        <v>3</v>
      </c>
      <c r="K36" s="4">
        <v>16.7</v>
      </c>
      <c r="L36" s="4">
        <v>28</v>
      </c>
      <c r="M36" s="4">
        <v>3</v>
      </c>
      <c r="N36" s="5">
        <v>100</v>
      </c>
      <c r="O36" s="4" t="s">
        <v>471</v>
      </c>
      <c r="P36" s="5">
        <v>40</v>
      </c>
      <c r="Q36" s="4" t="s">
        <v>472</v>
      </c>
      <c r="R36" s="5">
        <v>33.33</v>
      </c>
      <c r="S36" s="4" t="s">
        <v>473</v>
      </c>
      <c r="T36" s="5">
        <v>100</v>
      </c>
      <c r="U36" s="4" t="s">
        <v>474</v>
      </c>
      <c r="V36" s="5">
        <v>29.41</v>
      </c>
      <c r="W36" s="4" t="s">
        <v>475</v>
      </c>
      <c r="X36" s="5">
        <v>27.78</v>
      </c>
      <c r="Y36" s="4" t="s">
        <v>476</v>
      </c>
      <c r="Z36" s="4" t="s">
        <v>82</v>
      </c>
      <c r="AA36" s="4" t="s">
        <v>477</v>
      </c>
      <c r="AB36" s="4" t="s">
        <v>82</v>
      </c>
      <c r="AC36" s="4" t="s">
        <v>478</v>
      </c>
      <c r="AD36" s="4" t="s">
        <v>122</v>
      </c>
      <c r="AE36" s="4" t="s">
        <v>479</v>
      </c>
      <c r="AF36" s="4" t="s">
        <v>63</v>
      </c>
      <c r="AG36" s="4" t="s">
        <v>480</v>
      </c>
      <c r="AH36" s="4" t="s">
        <v>82</v>
      </c>
      <c r="AI36" s="4" t="s">
        <v>481</v>
      </c>
      <c r="AJ36" s="4" t="s">
        <v>84</v>
      </c>
      <c r="AK36" s="4" t="s">
        <v>482</v>
      </c>
      <c r="AL36" s="4">
        <v>21.01</v>
      </c>
      <c r="AM36" s="4">
        <v>18.829999999999998</v>
      </c>
      <c r="AN36" s="4">
        <v>338</v>
      </c>
      <c r="AO36" s="4">
        <v>251</v>
      </c>
      <c r="AP36" s="4">
        <v>97</v>
      </c>
      <c r="AQ36" s="4">
        <v>0.36099999999999999</v>
      </c>
      <c r="AR36" s="4">
        <v>99</v>
      </c>
      <c r="AS36" s="4">
        <v>92</v>
      </c>
      <c r="AT36" s="4">
        <v>89</v>
      </c>
      <c r="AU36" s="4">
        <v>0.221</v>
      </c>
      <c r="AV36" s="4">
        <v>100</v>
      </c>
      <c r="AW36" s="4">
        <v>4.3140000000000001</v>
      </c>
      <c r="AX36" s="4">
        <v>100</v>
      </c>
      <c r="AY36" s="4">
        <v>0.437</v>
      </c>
      <c r="AZ36" s="4">
        <v>96</v>
      </c>
      <c r="BA36" s="4">
        <v>69</v>
      </c>
      <c r="BB36" s="4">
        <v>100</v>
      </c>
      <c r="BC36" s="4">
        <v>0.32</v>
      </c>
      <c r="BD36" s="4">
        <v>100</v>
      </c>
      <c r="BE36" s="6">
        <v>3.8</v>
      </c>
    </row>
    <row r="37" spans="1:57">
      <c r="A37" s="4">
        <v>2</v>
      </c>
      <c r="B37" s="4">
        <v>2</v>
      </c>
      <c r="C37" s="4"/>
      <c r="D37" s="4">
        <v>163.5</v>
      </c>
      <c r="E37" s="4">
        <v>60.7</v>
      </c>
      <c r="F37" s="4">
        <f t="shared" si="0"/>
        <v>22.706655818346754</v>
      </c>
      <c r="G37" s="4">
        <v>58.8</v>
      </c>
      <c r="H37" s="4">
        <v>28.9</v>
      </c>
      <c r="I37" s="4">
        <v>23.7</v>
      </c>
      <c r="J37" s="4">
        <v>6</v>
      </c>
      <c r="K37" s="4">
        <v>27.7</v>
      </c>
      <c r="L37" s="4">
        <v>23.3</v>
      </c>
      <c r="M37" s="4">
        <v>5</v>
      </c>
      <c r="N37" s="5">
        <v>94.44</v>
      </c>
      <c r="O37" s="4" t="s">
        <v>483</v>
      </c>
      <c r="P37" s="5">
        <v>68.180000000000007</v>
      </c>
      <c r="Q37" s="4" t="s">
        <v>484</v>
      </c>
      <c r="R37" s="5">
        <v>35.71</v>
      </c>
      <c r="S37" s="4" t="s">
        <v>485</v>
      </c>
      <c r="T37" s="5">
        <v>100</v>
      </c>
      <c r="U37" s="4" t="s">
        <v>486</v>
      </c>
      <c r="V37" s="5">
        <v>64.709999999999994</v>
      </c>
      <c r="W37" s="4" t="s">
        <v>487</v>
      </c>
      <c r="X37" s="5">
        <v>68.42</v>
      </c>
      <c r="Y37" s="4" t="s">
        <v>488</v>
      </c>
      <c r="Z37" s="4" t="s">
        <v>63</v>
      </c>
      <c r="AA37" s="4" t="s">
        <v>489</v>
      </c>
      <c r="AB37" s="4" t="s">
        <v>63</v>
      </c>
      <c r="AC37" s="4" t="s">
        <v>490</v>
      </c>
      <c r="AD37" s="4" t="s">
        <v>68</v>
      </c>
      <c r="AE37" s="4" t="s">
        <v>491</v>
      </c>
      <c r="AF37" s="4" t="s">
        <v>63</v>
      </c>
      <c r="AG37" s="4" t="s">
        <v>492</v>
      </c>
      <c r="AH37" s="4" t="s">
        <v>63</v>
      </c>
      <c r="AI37" s="4" t="s">
        <v>493</v>
      </c>
      <c r="AJ37" s="4" t="s">
        <v>122</v>
      </c>
      <c r="AK37" s="4" t="s">
        <v>494</v>
      </c>
      <c r="AL37" s="4">
        <v>21.58</v>
      </c>
      <c r="AM37" s="4">
        <v>20.11</v>
      </c>
      <c r="AN37" s="4">
        <v>340</v>
      </c>
      <c r="AO37" s="4">
        <v>278</v>
      </c>
      <c r="AP37" s="4">
        <v>97</v>
      </c>
      <c r="AQ37" s="4">
        <v>0.441</v>
      </c>
      <c r="AR37" s="4">
        <v>97</v>
      </c>
      <c r="AS37" s="4">
        <v>55</v>
      </c>
      <c r="AT37" s="4">
        <v>95</v>
      </c>
      <c r="AU37" s="4">
        <v>0.35699999999999998</v>
      </c>
      <c r="AV37" s="4">
        <v>100</v>
      </c>
      <c r="AW37" s="4">
        <v>3.3580000000000001</v>
      </c>
      <c r="AX37" s="4">
        <v>97</v>
      </c>
      <c r="AY37" s="4">
        <v>0.53600000000000003</v>
      </c>
      <c r="AZ37" s="4">
        <v>100</v>
      </c>
      <c r="BA37" s="4">
        <v>57</v>
      </c>
      <c r="BB37" s="4">
        <v>97</v>
      </c>
      <c r="BC37" s="4">
        <v>0.41299999999999998</v>
      </c>
      <c r="BD37" s="4">
        <v>100</v>
      </c>
      <c r="BE37" s="4">
        <v>5.633</v>
      </c>
    </row>
    <row r="38" spans="1:57">
      <c r="A38" s="4">
        <v>2</v>
      </c>
      <c r="B38" s="4">
        <v>1</v>
      </c>
      <c r="C38" s="4"/>
      <c r="D38" s="4">
        <v>168</v>
      </c>
      <c r="E38" s="4">
        <v>76.5</v>
      </c>
      <c r="F38" s="4">
        <f t="shared" si="0"/>
        <v>27.104591836734699</v>
      </c>
      <c r="G38" s="4">
        <v>72</v>
      </c>
      <c r="H38" s="4">
        <v>22.1</v>
      </c>
      <c r="I38" s="4">
        <v>34.1</v>
      </c>
      <c r="J38" s="4">
        <v>6</v>
      </c>
      <c r="K38" s="4">
        <v>20.399999999999999</v>
      </c>
      <c r="L38" s="4">
        <v>32.6</v>
      </c>
      <c r="M38" s="4">
        <v>5</v>
      </c>
      <c r="N38" s="5">
        <v>100</v>
      </c>
      <c r="O38" s="4" t="s">
        <v>495</v>
      </c>
      <c r="P38" s="5">
        <v>43.75</v>
      </c>
      <c r="Q38" s="4" t="s">
        <v>496</v>
      </c>
      <c r="R38" s="5">
        <v>63.16</v>
      </c>
      <c r="S38" s="4" t="s">
        <v>497</v>
      </c>
      <c r="T38" s="5">
        <v>93.75</v>
      </c>
      <c r="U38" s="4" t="s">
        <v>498</v>
      </c>
      <c r="V38" s="5">
        <v>57.14</v>
      </c>
      <c r="W38" s="4" t="s">
        <v>499</v>
      </c>
      <c r="X38" s="5">
        <v>66.67</v>
      </c>
      <c r="Y38" s="4" t="s">
        <v>500</v>
      </c>
      <c r="Z38" s="4" t="s">
        <v>82</v>
      </c>
      <c r="AA38" s="4" t="s">
        <v>501</v>
      </c>
      <c r="AB38" s="4" t="s">
        <v>82</v>
      </c>
      <c r="AC38" s="4" t="s">
        <v>502</v>
      </c>
      <c r="AD38" s="4" t="s">
        <v>122</v>
      </c>
      <c r="AE38" s="4" t="s">
        <v>503</v>
      </c>
      <c r="AF38" s="4" t="s">
        <v>76</v>
      </c>
      <c r="AG38" s="4" t="s">
        <v>504</v>
      </c>
      <c r="AH38" s="4" t="s">
        <v>63</v>
      </c>
      <c r="AI38" s="4" t="s">
        <v>505</v>
      </c>
      <c r="AJ38" s="4" t="s">
        <v>122</v>
      </c>
      <c r="AK38" s="4" t="s">
        <v>506</v>
      </c>
      <c r="AL38" s="4">
        <v>21.5</v>
      </c>
      <c r="AM38" s="4">
        <v>19.2</v>
      </c>
      <c r="AN38" s="4">
        <v>248</v>
      </c>
      <c r="AO38" s="4">
        <v>246</v>
      </c>
      <c r="AP38" s="4">
        <v>97</v>
      </c>
      <c r="AQ38" s="6">
        <v>0.42</v>
      </c>
      <c r="AR38" s="4">
        <v>96</v>
      </c>
      <c r="AS38" s="4">
        <v>92</v>
      </c>
      <c r="AT38" s="4">
        <v>100</v>
      </c>
      <c r="AU38" s="4">
        <v>0.46300000000000002</v>
      </c>
      <c r="AV38" s="4">
        <v>100</v>
      </c>
      <c r="AW38" s="4">
        <v>6.9359999999999999</v>
      </c>
      <c r="AX38" s="4">
        <v>97</v>
      </c>
      <c r="AY38" s="4">
        <v>0.39400000000000002</v>
      </c>
      <c r="AZ38" s="4">
        <v>100</v>
      </c>
      <c r="BA38" s="4">
        <v>87</v>
      </c>
      <c r="BB38" s="4">
        <v>98</v>
      </c>
      <c r="BC38" s="6">
        <v>0.57999999999999996</v>
      </c>
      <c r="BD38" s="4">
        <v>100</v>
      </c>
      <c r="BE38" s="4">
        <v>5.0960000000000001</v>
      </c>
    </row>
    <row r="39" spans="1:57">
      <c r="A39" s="4">
        <v>2</v>
      </c>
      <c r="B39" s="4">
        <v>2</v>
      </c>
      <c r="C39" s="4"/>
      <c r="D39" s="4">
        <v>170</v>
      </c>
      <c r="E39" s="4">
        <v>65.599999999999994</v>
      </c>
      <c r="F39" s="4">
        <f t="shared" si="0"/>
        <v>22.698961937716263</v>
      </c>
      <c r="G39" s="4">
        <v>64.3</v>
      </c>
      <c r="H39" s="4">
        <v>31.9</v>
      </c>
      <c r="I39" s="4">
        <v>24.6</v>
      </c>
      <c r="J39" s="4">
        <v>8</v>
      </c>
      <c r="K39" s="4">
        <v>28.7</v>
      </c>
      <c r="L39" s="4">
        <v>24.7</v>
      </c>
      <c r="M39" s="4">
        <v>7</v>
      </c>
      <c r="N39" s="5">
        <v>100</v>
      </c>
      <c r="O39" s="4" t="s">
        <v>507</v>
      </c>
      <c r="P39" s="5">
        <v>47.83</v>
      </c>
      <c r="Q39" s="4" t="s">
        <v>508</v>
      </c>
      <c r="R39" s="5">
        <v>30.43</v>
      </c>
      <c r="S39" s="4" t="s">
        <v>509</v>
      </c>
      <c r="T39" s="5">
        <v>86.67</v>
      </c>
      <c r="U39" s="4" t="s">
        <v>510</v>
      </c>
      <c r="V39" s="5">
        <v>68.75</v>
      </c>
      <c r="W39" s="4" t="s">
        <v>511</v>
      </c>
      <c r="X39" s="5">
        <v>62.5</v>
      </c>
      <c r="Y39" s="4" t="s">
        <v>512</v>
      </c>
      <c r="Z39" s="4" t="s">
        <v>63</v>
      </c>
      <c r="AA39" s="4" t="s">
        <v>513</v>
      </c>
      <c r="AB39" s="4" t="s">
        <v>63</v>
      </c>
      <c r="AC39" s="4" t="s">
        <v>514</v>
      </c>
      <c r="AD39" s="4" t="s">
        <v>276</v>
      </c>
      <c r="AE39" s="4" t="s">
        <v>515</v>
      </c>
      <c r="AF39" s="4" t="s">
        <v>76</v>
      </c>
      <c r="AG39" s="4" t="s">
        <v>516</v>
      </c>
      <c r="AH39" s="4" t="s">
        <v>76</v>
      </c>
      <c r="AI39" s="4" t="s">
        <v>517</v>
      </c>
      <c r="AJ39" s="4" t="s">
        <v>99</v>
      </c>
      <c r="AK39" s="4" t="s">
        <v>518</v>
      </c>
      <c r="AL39" s="4">
        <v>22.8</v>
      </c>
      <c r="AM39" s="4">
        <v>22.35</v>
      </c>
      <c r="AN39" s="4">
        <v>294</v>
      </c>
      <c r="AO39" s="4">
        <v>258</v>
      </c>
      <c r="AP39" s="4">
        <v>97</v>
      </c>
      <c r="AQ39" s="6">
        <v>0.46800000000000003</v>
      </c>
      <c r="AR39" s="4">
        <v>99</v>
      </c>
      <c r="AS39" s="4">
        <v>103</v>
      </c>
      <c r="AT39" s="4">
        <v>94</v>
      </c>
      <c r="AU39" s="4">
        <v>0.40500000000000003</v>
      </c>
      <c r="AV39" s="4">
        <v>100</v>
      </c>
      <c r="AW39" s="4">
        <v>4.4459999999999997</v>
      </c>
      <c r="AX39" s="4">
        <v>97</v>
      </c>
      <c r="AY39" s="4">
        <v>0.40300000000000002</v>
      </c>
      <c r="AZ39" s="4">
        <v>99</v>
      </c>
      <c r="BA39" s="4">
        <v>72</v>
      </c>
      <c r="BB39" s="4">
        <v>86</v>
      </c>
      <c r="BC39" s="4">
        <v>0.32100000000000001</v>
      </c>
      <c r="BD39" s="4">
        <v>100</v>
      </c>
      <c r="BE39" s="4">
        <v>2.7879999999999998</v>
      </c>
    </row>
    <row r="40" spans="1:57">
      <c r="A40" s="4">
        <v>2</v>
      </c>
      <c r="B40" s="4">
        <v>2</v>
      </c>
      <c r="C40" s="4"/>
      <c r="D40" s="4">
        <v>160</v>
      </c>
      <c r="E40" s="4">
        <v>50.9</v>
      </c>
      <c r="F40" s="4">
        <f t="shared" si="0"/>
        <v>19.882812499999996</v>
      </c>
      <c r="G40" s="4">
        <v>50.7</v>
      </c>
      <c r="H40" s="4">
        <v>27.5</v>
      </c>
      <c r="I40" s="4">
        <v>19.5</v>
      </c>
      <c r="J40" s="4">
        <v>5</v>
      </c>
      <c r="K40" s="4">
        <v>25.4</v>
      </c>
      <c r="L40" s="4">
        <v>20.100000000000001</v>
      </c>
      <c r="M40" s="4">
        <v>4</v>
      </c>
      <c r="N40" s="5">
        <v>100</v>
      </c>
      <c r="O40" s="4" t="s">
        <v>519</v>
      </c>
      <c r="P40" s="5">
        <v>41.18</v>
      </c>
      <c r="Q40" s="4" t="s">
        <v>520</v>
      </c>
      <c r="R40" s="5">
        <v>65</v>
      </c>
      <c r="S40" s="4" t="s">
        <v>521</v>
      </c>
      <c r="T40" s="5">
        <v>100</v>
      </c>
      <c r="U40" s="4" t="s">
        <v>519</v>
      </c>
      <c r="V40" s="5">
        <v>41.18</v>
      </c>
      <c r="W40" s="4" t="s">
        <v>520</v>
      </c>
      <c r="X40" s="5">
        <v>65</v>
      </c>
      <c r="Y40" s="4" t="s">
        <v>521</v>
      </c>
      <c r="Z40" s="4" t="s">
        <v>63</v>
      </c>
      <c r="AA40" s="4" t="s">
        <v>274</v>
      </c>
      <c r="AB40" s="4" t="s">
        <v>63</v>
      </c>
      <c r="AC40" s="4" t="s">
        <v>446</v>
      </c>
      <c r="AD40" s="4" t="s">
        <v>109</v>
      </c>
      <c r="AE40" s="4" t="s">
        <v>447</v>
      </c>
      <c r="AF40" s="4" t="s">
        <v>63</v>
      </c>
      <c r="AG40" s="4" t="s">
        <v>522</v>
      </c>
      <c r="AH40" s="4" t="s">
        <v>82</v>
      </c>
      <c r="AI40" s="4" t="s">
        <v>523</v>
      </c>
      <c r="AJ40" s="4" t="s">
        <v>206</v>
      </c>
      <c r="AK40" s="4" t="s">
        <v>524</v>
      </c>
      <c r="AL40" s="4">
        <v>22.7</v>
      </c>
      <c r="AM40" s="4">
        <v>20.59</v>
      </c>
      <c r="AN40" s="4">
        <v>290</v>
      </c>
      <c r="AO40" s="4">
        <v>279</v>
      </c>
      <c r="AP40" s="4">
        <v>100</v>
      </c>
      <c r="AQ40" s="4">
        <v>0.40899999999999997</v>
      </c>
      <c r="AR40" s="4">
        <v>97</v>
      </c>
      <c r="AS40" s="4">
        <v>41</v>
      </c>
      <c r="AT40" s="4">
        <v>97</v>
      </c>
      <c r="AU40" s="4">
        <v>0.36299999999999999</v>
      </c>
      <c r="AV40" s="4">
        <v>100</v>
      </c>
      <c r="AW40" s="4">
        <v>4.1719999999999997</v>
      </c>
      <c r="AX40" s="4">
        <v>100</v>
      </c>
      <c r="AY40" s="4">
        <v>0.36899999999999999</v>
      </c>
      <c r="AZ40" s="4">
        <v>97</v>
      </c>
      <c r="BA40" s="4">
        <v>40</v>
      </c>
      <c r="BB40" s="4">
        <v>100</v>
      </c>
      <c r="BC40" s="4">
        <v>0.36299999999999999</v>
      </c>
      <c r="BD40" s="4">
        <v>100</v>
      </c>
      <c r="BE40" s="4">
        <v>4.1639999999999997</v>
      </c>
    </row>
    <row r="41" spans="1:57">
      <c r="A41" s="4">
        <v>2</v>
      </c>
      <c r="B41" s="4">
        <v>1</v>
      </c>
      <c r="C41" s="4"/>
      <c r="D41" s="4">
        <v>182</v>
      </c>
      <c r="E41" s="4">
        <v>60.6</v>
      </c>
      <c r="F41" s="4">
        <f t="shared" si="0"/>
        <v>18.294891921265545</v>
      </c>
      <c r="G41" s="4">
        <v>60.9</v>
      </c>
      <c r="H41" s="4">
        <v>18.899999999999999</v>
      </c>
      <c r="I41" s="4">
        <v>31.9</v>
      </c>
      <c r="J41" s="4">
        <v>5</v>
      </c>
      <c r="K41" s="4">
        <v>9.9</v>
      </c>
      <c r="L41" s="4">
        <v>30.5</v>
      </c>
      <c r="M41" s="4">
        <v>3</v>
      </c>
      <c r="N41" s="5">
        <v>61.11</v>
      </c>
      <c r="O41" s="4" t="s">
        <v>525</v>
      </c>
      <c r="P41" s="5">
        <v>43.75</v>
      </c>
      <c r="Q41" s="4" t="s">
        <v>526</v>
      </c>
      <c r="R41" s="5">
        <v>31.58</v>
      </c>
      <c r="S41" s="4" t="s">
        <v>527</v>
      </c>
      <c r="T41" s="5">
        <v>100</v>
      </c>
      <c r="U41" s="4" t="s">
        <v>528</v>
      </c>
      <c r="V41" s="5">
        <v>88.89</v>
      </c>
      <c r="W41" s="4" t="s">
        <v>529</v>
      </c>
      <c r="X41" s="5">
        <v>52.94</v>
      </c>
      <c r="Y41" s="4" t="s">
        <v>530</v>
      </c>
      <c r="Z41" s="4" t="s">
        <v>82</v>
      </c>
      <c r="AA41" s="4" t="s">
        <v>531</v>
      </c>
      <c r="AB41" s="4" t="s">
        <v>63</v>
      </c>
      <c r="AC41" s="4" t="s">
        <v>532</v>
      </c>
      <c r="AD41" s="4" t="s">
        <v>66</v>
      </c>
      <c r="AE41" s="4" t="s">
        <v>533</v>
      </c>
      <c r="AF41" s="4" t="s">
        <v>63</v>
      </c>
      <c r="AG41" s="4" t="s">
        <v>534</v>
      </c>
      <c r="AH41" s="4" t="s">
        <v>82</v>
      </c>
      <c r="AI41" s="4" t="s">
        <v>535</v>
      </c>
      <c r="AJ41" s="4" t="s">
        <v>536</v>
      </c>
      <c r="AK41" s="4" t="s">
        <v>537</v>
      </c>
      <c r="AL41" s="4">
        <v>21</v>
      </c>
      <c r="AM41" s="4">
        <v>18.989999999999998</v>
      </c>
      <c r="AN41" s="4">
        <v>285</v>
      </c>
      <c r="AO41" s="4">
        <v>256</v>
      </c>
      <c r="AP41" s="4">
        <v>97</v>
      </c>
      <c r="AQ41" s="4">
        <v>0.41899999999999998</v>
      </c>
      <c r="AR41" s="4">
        <v>98</v>
      </c>
      <c r="AS41" s="4">
        <v>112</v>
      </c>
      <c r="AT41" s="4">
        <v>97</v>
      </c>
      <c r="AU41" s="4">
        <v>0.46700000000000003</v>
      </c>
      <c r="AV41" s="4">
        <v>100</v>
      </c>
      <c r="AW41" s="4">
        <v>8.3510000000000009</v>
      </c>
      <c r="AX41" s="4">
        <v>97</v>
      </c>
      <c r="AY41" s="4">
        <v>0.41099999999999998</v>
      </c>
      <c r="AZ41" s="4">
        <v>96</v>
      </c>
      <c r="BA41" s="4">
        <v>56</v>
      </c>
      <c r="BB41" s="4">
        <v>94</v>
      </c>
      <c r="BC41" s="4">
        <v>0.33600000000000002</v>
      </c>
      <c r="BD41" s="4">
        <v>100</v>
      </c>
      <c r="BE41" s="4">
        <v>6.2949999999999999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 L</dc:creator>
  <cp:lastModifiedBy>L L</cp:lastModifiedBy>
  <dcterms:created xsi:type="dcterms:W3CDTF">2023-05-12T11:15:00Z</dcterms:created>
  <dcterms:modified xsi:type="dcterms:W3CDTF">2026-08-11T04:00:51Z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